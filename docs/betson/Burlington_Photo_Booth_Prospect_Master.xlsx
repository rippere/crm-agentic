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betti-my.sharepoint.com/personal/zdimotta_betson_com/Documents/Desktop/"/>
    </mc:Choice>
  </mc:AlternateContent>
  <xr:revisionPtr revIDLastSave="0" documentId="13_ncr:20001_{3B9958A2-EB5F-4895-AF6D-6454059319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ecutive Summary" sheetId="1" r:id="rId1"/>
    <sheet name="Master Prospects" sheetId="2" r:id="rId2"/>
    <sheet name="Scoring Guide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2" l="1"/>
  <c r="Z17" i="2"/>
  <c r="F17" i="2"/>
  <c r="B17" i="2" s="1"/>
  <c r="AA16" i="2"/>
  <c r="Z16" i="2"/>
  <c r="F16" i="2"/>
  <c r="A16" i="2" s="1"/>
  <c r="B16" i="2"/>
  <c r="AA15" i="2"/>
  <c r="Z15" i="2"/>
  <c r="F15" i="2"/>
  <c r="A15" i="2" s="1"/>
  <c r="B15" i="2"/>
  <c r="AA14" i="2"/>
  <c r="Z14" i="2"/>
  <c r="F14" i="2"/>
  <c r="B14" i="2" s="1"/>
  <c r="AA13" i="2"/>
  <c r="Z13" i="2"/>
  <c r="F13" i="2"/>
  <c r="B13" i="2" s="1"/>
  <c r="A13" i="2"/>
  <c r="AA12" i="2"/>
  <c r="Z12" i="2"/>
  <c r="F12" i="2"/>
  <c r="B12" i="2" s="1"/>
  <c r="AA11" i="2"/>
  <c r="Z11" i="2"/>
  <c r="F11" i="2"/>
  <c r="B11" i="2" s="1"/>
  <c r="AA10" i="2"/>
  <c r="Z10" i="2"/>
  <c r="F10" i="2"/>
  <c r="A10" i="2" s="1"/>
  <c r="B10" i="2"/>
  <c r="AA9" i="2"/>
  <c r="Z9" i="2"/>
  <c r="F9" i="2"/>
  <c r="B9" i="2"/>
  <c r="A9" i="2"/>
  <c r="AA8" i="2"/>
  <c r="Z8" i="2"/>
  <c r="F8" i="2"/>
  <c r="B8" i="2" s="1"/>
  <c r="A8" i="2"/>
  <c r="AA7" i="2"/>
  <c r="Z7" i="2"/>
  <c r="F7" i="2"/>
  <c r="B7" i="2" s="1"/>
  <c r="AA6" i="2"/>
  <c r="Z6" i="2"/>
  <c r="F6" i="2"/>
  <c r="A6" i="2" s="1"/>
  <c r="B6" i="2"/>
  <c r="AA5" i="2"/>
  <c r="Z5" i="2"/>
  <c r="F5" i="2"/>
  <c r="B5" i="2"/>
  <c r="A5" i="2"/>
  <c r="AA4" i="2"/>
  <c r="Z4" i="2"/>
  <c r="F4" i="2"/>
  <c r="B4" i="2"/>
  <c r="A4" i="2"/>
  <c r="AA3" i="2"/>
  <c r="Z3" i="2"/>
  <c r="F3" i="2"/>
  <c r="B3" i="2" s="1"/>
  <c r="B8" i="1" s="1"/>
  <c r="AA2" i="2"/>
  <c r="Z2" i="2"/>
  <c r="F2" i="2"/>
  <c r="B2" i="2"/>
  <c r="A2" i="2"/>
  <c r="A7" i="2" l="1"/>
  <c r="A11" i="2"/>
  <c r="A14" i="2"/>
  <c r="A17" i="2"/>
  <c r="A3" i="2"/>
  <c r="A12" i="2"/>
</calcChain>
</file>

<file path=xl/sharedStrings.xml><?xml version="1.0" encoding="utf-8"?>
<sst xmlns="http://schemas.openxmlformats.org/spreadsheetml/2006/main" count="425" uniqueCount="345">
  <si>
    <t>Burlington / Winooski / Essex Photo Booth Prospect Master List</t>
  </si>
  <si>
    <t>Objective: prioritize hospitality, tourism and entertainment locations where an Apple Industries photo booth can add to the guest experience, build the venue's brand through printed/social photos, and generate meaningful revenue-share usage.</t>
  </si>
  <si>
    <t>Working KPI</t>
  </si>
  <si>
    <t>Value</t>
  </si>
  <si>
    <t>Meaning</t>
  </si>
  <si>
    <t>Use</t>
  </si>
  <si>
    <t>Suggested Scouting Clusters</t>
  </si>
  <si>
    <t>Total Prospects</t>
  </si>
  <si>
    <t>Current Burlington-area master list</t>
  </si>
  <si>
    <t>Keep adding strong user-discovered prospects</t>
  </si>
  <si>
    <t>Cluster</t>
  </si>
  <si>
    <t>Core Stops</t>
  </si>
  <si>
    <t>What to Watch For</t>
  </si>
  <si>
    <t>Best Daypart</t>
  </si>
  <si>
    <t>Priority</t>
  </si>
  <si>
    <t>A+ / A Targets</t>
  </si>
  <si>
    <t>Highest-priority outreach group</t>
  </si>
  <si>
    <t>Email before the Burlington scouting day</t>
  </si>
  <si>
    <t>Downtown / Church St</t>
  </si>
  <si>
    <t>Rí Rá, Farmhouse, Archives, Hotel Vermont, Harborvale</t>
  </si>
  <si>
    <t>Waitlists, bar traffic, group behavior, visible wall space</t>
  </si>
  <si>
    <t>Late afternoon + evening</t>
  </si>
  <si>
    <t>Highest</t>
  </si>
  <si>
    <t>Named Contacts</t>
  </si>
  <si>
    <t>Rows with a specific person identified</t>
  </si>
  <si>
    <t>Best chance of a productive advance conversation</t>
  </si>
  <si>
    <t>Waterfront</t>
  </si>
  <si>
    <t>ECHO, Foam, Spirit of Ethan Allen</t>
  </si>
  <si>
    <t>Tourist flow, entry/exit dwell, souvenir behavior</t>
  </si>
  <si>
    <t>Weekend midday + early evening</t>
  </si>
  <si>
    <t>High</t>
  </si>
  <si>
    <t>Research Date</t>
  </si>
  <si>
    <t>September 10, 2026</t>
  </si>
  <si>
    <t>Contact and venue details can change</t>
  </si>
  <si>
    <t>Re-verify before major outreach</t>
  </si>
  <si>
    <t>South End / South Burlington</t>
  </si>
  <si>
    <t>Burlington Beer Co., Higher Ground</t>
  </si>
  <si>
    <t>Group/event traffic and pre-function space</t>
  </si>
  <si>
    <t>Event night / dinner</t>
  </si>
  <si>
    <t>Winooski</t>
  </si>
  <si>
    <t>Waterworks, Monkey House, Four Quarters</t>
  </si>
  <si>
    <t>Nightlife density, event traffic, footprint</t>
  </si>
  <si>
    <t>Dinner through late night</t>
  </si>
  <si>
    <t>Rank</t>
  </si>
  <si>
    <t>Top Prospect</t>
  </si>
  <si>
    <t>Score</t>
  </si>
  <si>
    <t>Why It Ranks High</t>
  </si>
  <si>
    <t>Essex</t>
  </si>
  <si>
    <t>Black Flannel, The Double E</t>
  </si>
  <si>
    <t>Destination traffic, events, ability to cross-sell multiple uses</t>
  </si>
  <si>
    <t>Fri/Sat evening</t>
  </si>
  <si>
    <t>Medium-High</t>
  </si>
  <si>
    <t>Rí Rá Irish Pub</t>
  </si>
  <si>
    <t>Closest local match to the Toast-style behavior: busy, social, group-oriented and active late into the evening.</t>
  </si>
  <si>
    <t>ECHO, Leahy Center for Lake Champlain</t>
  </si>
  <si>
    <t>One of the strongest family-tourism opportunities in Burlington, with a natural souvenir and social-sharing use case.</t>
  </si>
  <si>
    <t>Burlington Beer Co.</t>
  </si>
  <si>
    <t>Large, flexible brewpub with groups, families, events and enough physical space to support a permanent booth.</t>
  </si>
  <si>
    <t>The Archives</t>
  </si>
  <si>
    <t>Behavioral fit is nearly perfect: the venue already sells interaction, cocktails and shared experiences.</t>
  </si>
  <si>
    <t>Higher Ground</t>
  </si>
  <si>
    <t>Concert crowds arrive in groups, are highly social and are already purchasing an experience rather than simply food or drink.</t>
  </si>
  <si>
    <t>Foam Brewers - Burlington</t>
  </si>
  <si>
    <t>Strong waterfront tourism, music and social culture with customers who linger and document the experience.</t>
  </si>
  <si>
    <t>Black Flannel Brewing &amp; Distilling</t>
  </si>
  <si>
    <t>Best Essex hospitality target: high-volume upscale brewpub plus distillery, events and strong experiential branding.</t>
  </si>
  <si>
    <t>Waterworks Food + Drink</t>
  </si>
  <si>
    <t>Large, dramatic restaurant and event space with celebrations, private events, bar traffic and substantial group business.</t>
  </si>
  <si>
    <t>The Harborvale, Autograph Collection</t>
  </si>
  <si>
    <t>New upscale hotel with a social Great Room, lake-oriented brand, restaurant/bar and event business.</t>
  </si>
  <si>
    <t>Farmhouse Tap &amp; Grill</t>
  </si>
  <si>
    <t>High-volume downtown restaurant with a beer garden, bar spaces and waiting traffic, all helpful booth behaviors.</t>
  </si>
  <si>
    <t>Tier</t>
  </si>
  <si>
    <t>Venue</t>
  </si>
  <si>
    <t>Area</t>
  </si>
  <si>
    <t>Category</t>
  </si>
  <si>
    <t>Overall Score</t>
  </si>
  <si>
    <t>Address</t>
  </si>
  <si>
    <t>Fit Summary</t>
  </si>
  <si>
    <t>Why It Works</t>
  </si>
  <si>
    <t>Best Outreach Angle</t>
  </si>
  <si>
    <t>Potential Placement</t>
  </si>
  <si>
    <t>Key Risks / Questions</t>
  </si>
  <si>
    <t>Best Contact</t>
  </si>
  <si>
    <t>Role</t>
  </si>
  <si>
    <t>Email / Contact Route</t>
  </si>
  <si>
    <t>Phone</t>
  </si>
  <si>
    <t>Traffic</t>
  </si>
  <si>
    <t>Social / Photo</t>
  </si>
  <si>
    <t>Group / Dwell</t>
  </si>
  <si>
    <t>Brand Fit</t>
  </si>
  <si>
    <t>Placement Feasibility</t>
  </si>
  <si>
    <t>Year-Round</t>
  </si>
  <si>
    <t>Contactability</t>
  </si>
  <si>
    <t>Research Confidence</t>
  </si>
  <si>
    <t>Best Scouting Window</t>
  </si>
  <si>
    <t>Primary Source URL</t>
  </si>
  <si>
    <t>Contact Source URL</t>
  </si>
  <si>
    <t>Outreach Status</t>
  </si>
  <si>
    <t>Visit Status</t>
  </si>
  <si>
    <t>Notes</t>
  </si>
  <si>
    <t>Burlington</t>
  </si>
  <si>
    <t>High-Traffic Bar / Restaurant</t>
  </si>
  <si>
    <t>123 Church St, Burlington, VT 05401</t>
  </si>
  <si>
    <t>Church Street tourist traffic, local and college crowds, sports viewing, parties, private events, late-night use and a strong pub identity. Customers already arrive in groups and are primed to take/share photos.</t>
  </si>
  <si>
    <t>Guest experience + social sharing + incremental revenue. Pitch a Burlington/Rí Rá-branded photo keepsake that becomes part of nights out, game days and parties.</t>
  </si>
  <si>
    <t>Near the transition between entry/waiting area and main bar, or a high-visibility wall that catches both dinner and late-night traffic.</t>
  </si>
  <si>
    <t>Confirm floor-space flow during peak nights and whether amusement/vendor agreements already exist.</t>
  </si>
  <si>
    <t>Anthony Moore</t>
  </si>
  <si>
    <t>Official Burlington contact</t>
  </si>
  <si>
    <t>riraburlington@rira.com</t>
  </si>
  <si>
    <t>802-860-9401</t>
  </si>
  <si>
    <t>Weekday 2–4 PM for manager access; Fri/Sat 8–11 PM to observe real booth traffic potential.</t>
  </si>
  <si>
    <t>Not Contacted</t>
  </si>
  <si>
    <t>Not Visited</t>
  </si>
  <si>
    <t>Burlington Waterfront</t>
  </si>
  <si>
    <t>Tourist Attraction / Museum</t>
  </si>
  <si>
    <t>1 College St, Burlington, VT 05401</t>
  </si>
  <si>
    <t>Year-round family traffic, tourists, school groups, interactive exhibits, events and a waterfront setting. A branded photo can function as both a keepsake and an extension of the ECHO/Lake Champlain experience.</t>
  </si>
  <si>
    <t>Memory + souvenir + brand extension. Emphasize custom ECHO/Lake Champlain photo templates and easy social sharing.</t>
  </si>
  <si>
    <t>Lobby/exit or gift-shop-adjacent area where families naturally pause before leaving.</t>
  </si>
  <si>
    <t>Museum approval may be more structured than a bar/restaurant. Protect traffic flow and keep the design educational/premium.</t>
  </si>
  <si>
    <t>Kelsey VonDerLinn</t>
  </si>
  <si>
    <t>Director of Sales &amp; Guest Services</t>
  </si>
  <si>
    <t>kvonderlinn@echovermont.org</t>
  </si>
  <si>
    <t>802-864-1848 ext. 127</t>
  </si>
  <si>
    <t>Weekday late morning/early afternoon for management; weekend midday to observe family volume.</t>
  </si>
  <si>
    <t>Burlington South End</t>
  </si>
  <si>
    <t>Brewery / Restaurant</t>
  </si>
  <si>
    <t>180 Flynn Ave, Burlington, VT 05401</t>
  </si>
  <si>
    <t>Big open layout, full restaurant and bar, events, reservations and strong visual branding. The venue attracts groups and gives guests reasons to linger beyond a meal.</t>
  </si>
  <si>
    <t>Create a branded BBCO social-photo moment that adds entertainment without requiring capital or staffing from the venue.</t>
  </si>
  <si>
    <t>Near event-space circulation or the main taproom transition area, positioned to be visible without disrupting dining.</t>
  </si>
  <si>
    <t>Confirm peak weekend usage and whether management wants the concept to skew adult, family-friendly, or both.</t>
  </si>
  <si>
    <t>Joe Lemnah</t>
  </si>
  <si>
    <t>Founder / Owner</t>
  </si>
  <si>
    <t>joe@burlingtonbeercompany.com; fallback: sales@burlingtonbeercompany.com</t>
  </si>
  <si>
    <t>802-863-2337</t>
  </si>
  <si>
    <t>Fri/Sat 5–8 PM to observe traffic; weekday 2–4 PM for an owner/manager conversation.</t>
  </si>
  <si>
    <t>Downtown Burlington</t>
  </si>
  <si>
    <t>Arcade Bar / Nightlife</t>
  </si>
  <si>
    <t>191 College St, Burlington, VT 05401</t>
  </si>
  <si>
    <t>Vintage games turn a normal night out into an activity. Late hours, groups, cocktails and built-in entertainment mean customers are already in the exact mindset that drives photo-booth use.</t>
  </si>
  <si>
    <t>Position the booth as another interactive attraction, but one that also generates branded social content and incremental revenue.</t>
  </si>
  <si>
    <t>Near game circulation or a high-traffic wall between the bar and arcade floor.</t>
  </si>
  <si>
    <t>Most important question is whether an existing amusement/game vendor has exclusivity or whether floor space is already fully monetized.</t>
  </si>
  <si>
    <t>Michele</t>
  </si>
  <si>
    <t>Events / Venue Contact</t>
  </si>
  <si>
    <t>michele@thearchivesbar.com</t>
  </si>
  <si>
    <t>Fri/Sat 9 PM–midnight for behavior; weekday around 4 PM for a quieter conversation.</t>
  </si>
  <si>
    <t>South Burlington</t>
  </si>
  <si>
    <t>Music / Entertainment Venue</t>
  </si>
  <si>
    <t>1214 Williston Rd, South Burlington, VT 05403</t>
  </si>
  <si>
    <t>Two event spaces, full bars, concerts, dance parties and private events. Photo behavior is naturally high before and after shows, and a booth can become part of the venue ritual.</t>
  </si>
  <si>
    <t>Fan experience + event-specific branding. Offer rotating templates for major shows, theme nights and Higher Ground branding.</t>
  </si>
  <si>
    <t>Lobby or bar-adjacent pre-function area before guests enter the main room.</t>
  </si>
  <si>
    <t>Traffic is event-driven. Confirm security/egress requirements and whether artists/promoters impose branding restrictions.</t>
  </si>
  <si>
    <t>Alex Crothers</t>
  </si>
  <si>
    <t>Founder / Owner; route through venue team</t>
  </si>
  <si>
    <t>info@highergroundmusic.com</t>
  </si>
  <si>
    <t>802-652-0777</t>
  </si>
  <si>
    <t>High for contact; Medium for direct routing</t>
  </si>
  <si>
    <t>Show night from doors through first set to observe flow; contact venue during business hours first.</t>
  </si>
  <si>
    <t>Brewery / Live Music</t>
  </si>
  <si>
    <t>112 Lake St, Burlington, VT 05401</t>
  </si>
  <si>
    <t>Lake views, patios, live music, craft-beer tourism and late Friday/Saturday hours create excellent social-photo behavior. The brand is visual and creative enough for a custom booth to feel native.</t>
  </si>
  <si>
    <t>Brand amplification. Guests leave with Foam-branded strips and shareable content tied to the Burlington waterfront experience.</t>
  </si>
  <si>
    <t>Indoor wall close to bar flow or a protected area near the patio transition, avoiding seasonal/weather exposure.</t>
  </si>
  <si>
    <t>Floor space may be tight during music. Outdoor placement would be difficult in winter, so permanent indoor positioning matters.</t>
  </si>
  <si>
    <t>Dan O'Hara</t>
  </si>
  <si>
    <t>Foam Brewers staff; marketing/brand contact route</t>
  </si>
  <si>
    <t>events@foambrewers.com</t>
  </si>
  <si>
    <t>802-399-2511</t>
  </si>
  <si>
    <t>Medium</t>
  </si>
  <si>
    <t>Fri/Sat 7–10 PM or a live-music night; contact before visiting.</t>
  </si>
  <si>
    <t>Brewpub / Distillery / Restaurant</t>
  </si>
  <si>
    <t>21 Essex Way, Essex, VT 05452</t>
  </si>
  <si>
    <t>Full restaurant, craft beer, spirits, events and a polished setting. Black Flannel explicitly positions itself around unique experiences, which makes a booth easier to frame as part of the hospitality product.</t>
  </si>
  <si>
    <t>An experience-driven, custom Black Flannel booth that works for weekend groups, events and visitors to the Essex Experience.</t>
  </si>
  <si>
    <t>Near the main host/bar transition or event flow where it can be visible without competing with dining tables.</t>
  </si>
  <si>
    <t>Validate actual peak weekend volume and identify placement that does not reduce revenue-generating dining space.</t>
  </si>
  <si>
    <t>Neal Johnston</t>
  </si>
  <si>
    <t>Director of Restaurant Operations / GM</t>
  </si>
  <si>
    <t>neal@blackflannel.com</t>
  </si>
  <si>
    <t>802-857-5629</t>
  </si>
  <si>
    <t>Fri/Sat 6–9 PM to assess traffic; weekday 2–4 PM for GM access.</t>
  </si>
  <si>
    <t>High-Volume Restaurant / Events</t>
  </si>
  <si>
    <t>20 Winooski Falls Way, Winooski, VT 05404</t>
  </si>
  <si>
    <t>20-to-200+ person events, strong design, river views, bar waiting, weddings and celebrations create natural photo moments. This is more than a dining room, it is an experience venue.</t>
  </si>
  <si>
    <t>Celebrations + event enhancement + everyday restaurant revenue. Position the booth as a permanent amenity that also serves private events.</t>
  </si>
  <si>
    <t>Near lounge/bar circulation or an event-space transition where both regular diners and private groups see it.</t>
  </si>
  <si>
    <t>Must protect the upscale aesthetic. Placement and cabinet skin need to look intentionally designed for the room.</t>
  </si>
  <si>
    <t>Sarah Lallier</t>
  </si>
  <si>
    <t>General Manager</t>
  </si>
  <si>
    <t>info@waterworksvt.com; event inquiry also available online</t>
  </si>
  <si>
    <t>802-497-3525</t>
  </si>
  <si>
    <t>Fri/Sat 6:30–9 PM to observe; weekday 2:30–4 PM for management.</t>
  </si>
  <si>
    <t>Downtown Burlington / Waterfront</t>
  </si>
  <si>
    <t>Hotel / Restaurant / Events</t>
  </si>
  <si>
    <t>25 Cherry St, Burlington, VT 05401</t>
  </si>
  <si>
    <t>Leisure travelers, local bar/restaurant traffic, meetings, weddings and a strong visual identity. A booth can serve more than hotel guests if placed in a social public area.</t>
  </si>
  <si>
    <t>Premium guest experience and Burlington/Lake Champlain brand-building, with custom strips and social sharing.</t>
  </si>
  <si>
    <t>Great Room / bar-adjacent area or event pre-function zone with consistent visibility.</t>
  </si>
  <si>
    <t>Marriott brand standards and hotel approval may slow a decision. The booth must look premium enough for an Autograph Collection property.</t>
  </si>
  <si>
    <t>Michell Langlais</t>
  </si>
  <si>
    <t>Vice President of Sales, Westport Hospitality</t>
  </si>
  <si>
    <t>michell.j.langlais@marriott.com</t>
  </si>
  <si>
    <t>802-864-4700</t>
  </si>
  <si>
    <t>Late afternoon/early evening to see Great Room and bar activity; appointment strongly preferred.</t>
  </si>
  <si>
    <t>Restaurant / Beer Garden / Bar</t>
  </si>
  <si>
    <t>160 Bank St, Burlington, VT 05401</t>
  </si>
  <si>
    <t>Strong tourist/local volume, groups, bar traffic, outdoor beer garden and periods when guests wait for tables. The waiting/dwell component is particularly attractive.</t>
  </si>
  <si>
    <t>Turn wait time and group nights out into a branded entertainment moment while adding incremental revenue.</t>
  </si>
  <si>
    <t>Waiting/bar zone rather than dining floor; potentially downstairs/parlor depending on actual traffic flow.</t>
  </si>
  <si>
    <t>Need a site visit to see whether the busiest waiting area has enough footprint. Direct GM email is not publicly listed.</t>
  </si>
  <si>
    <t>Scott Olmstead</t>
  </si>
  <si>
    <t>General Manager (third-party current listing)</t>
  </si>
  <si>
    <t>Use official contact form at burlington.farmhousetg.com/contact-us</t>
  </si>
  <si>
    <t>802-859-0888</t>
  </si>
  <si>
    <t>Fri/Sat 6–9 PM to observe waitlist/bar traffic; weekday 2–4 PM for management.</t>
  </si>
  <si>
    <t>Hotel Vermont</t>
  </si>
  <si>
    <t>Boutique Hotel / Bar / Events</t>
  </si>
  <si>
    <t>41 Cherry St, Burlington, VT 05401</t>
  </si>
  <si>
    <t>Independent, design-forward hotel whose lobby and Juniper already function as social gathering spaces.</t>
  </si>
  <si>
    <t>Leisure travelers, locals, live programming, Juniper, events and a strong Vermont brand. The hotel is unusually oriented toward gathering rather than simply lodging.</t>
  </si>
  <si>
    <t>Premium Vermont-branded keepsake for guests and locals, with event and wedding utility as an added benefit.</t>
  </si>
  <si>
    <t>Lobby/Juniper transition or event pre-function area, provided the cabinet design matches the hotel aesthetic.</t>
  </si>
  <si>
    <t>Space/aesthetic sensitivity and no public direct GM email. Avoid making a sophisticated lobby feel like an arcade.</t>
  </si>
  <si>
    <t>Matt Canning</t>
  </si>
  <si>
    <t>Vice President &amp; General Manager, Hotel Vermont</t>
  </si>
  <si>
    <t>stay@hotelvt.com (address message to Matt)</t>
  </si>
  <si>
    <t>855-650-0080</t>
  </si>
  <si>
    <t>4–7 PM to see lobby/Juniper crossover; appointment preferred.</t>
  </si>
  <si>
    <t>The Monkey House</t>
  </si>
  <si>
    <t>Bar / Music Venue / Nightlife</t>
  </si>
  <si>
    <t>30 Main St, Winooski, VT 05404</t>
  </si>
  <si>
    <t>Strong nightlife behavior with music, DJs, drag/burlesque, trivia, pizza and 1 AM closing.</t>
  </si>
  <si>
    <t>Groups arrive for shows and events, the room already supports playful interaction, and customers stay for extended periods. Private events create additional utilization.</t>
  </si>
  <si>
    <t>Make the booth part of the Monkey House nightlife ritual and provide branded social content from recurring shows and theme nights.</t>
  </si>
  <si>
    <t>Near bar/entrance transition where it is visible but outside the tightest performance-floor circulation.</t>
  </si>
  <si>
    <t>Smaller venue than top-ranked targets, so footprint and throughput need to be validated in person.</t>
  </si>
  <si>
    <t>Ali Nagle</t>
  </si>
  <si>
    <t>Manager / private-event contact</t>
  </si>
  <si>
    <t>ali.monkeyhouse@gmail.com</t>
  </si>
  <si>
    <t>802-655-4563</t>
  </si>
  <si>
    <t>Fri/Sat 9 PM–midnight or during a recurring themed event; email Ali first.</t>
  </si>
  <si>
    <t>Spirit of Ethan Allen</t>
  </si>
  <si>
    <t>Tourist Attraction / Cruise / Events</t>
  </si>
  <si>
    <t>Boat: 1 College St; office: 348 Flynn Ave, Burlington, VT 05401</t>
  </si>
  <si>
    <t>Excellent tourist-memory concept with cruises, celebrations, DJs, weddings and group events.</t>
  </si>
  <si>
    <t>Passengers are explicitly buying an experience and Lake Champlain photos are central to it. Birthdays, reunions, proms, weddings and group cruises create very strong photo behavior.</t>
  </si>
  <si>
    <t>A Burlington/Lake Champlain souvenir photo experience for boarding, special cruises and private events.</t>
  </si>
  <si>
    <t>Prefer terminal/check-in or protected boarding-area placement rather than taking valuable space aboard the ship.</t>
  </si>
  <si>
    <t>Seasonality and limited onboard space. Understand weather protection, power, security and whether one location can capture enough departures.</t>
  </si>
  <si>
    <t>Events / Reservations Team</t>
  </si>
  <si>
    <t>Group &amp; event inquiries</t>
  </si>
  <si>
    <t>spirit@soea.com</t>
  </si>
  <si>
    <t>802-862-8300</t>
  </si>
  <si>
    <t>A busy weekend boarding period; contact before visiting because operational timing matters.</t>
  </si>
  <si>
    <t>Church Street Marketplace</t>
  </si>
  <si>
    <t>Tourism District / Public Space</t>
  </si>
  <si>
    <t>Church Street Marketplace, Burlington, VT 05401</t>
  </si>
  <si>
    <t>Enormous pedestrian visibility and social behavior, but operational complexity makes it a strategic rather than easy placement.</t>
  </si>
  <si>
    <t>Tourists, events and heavy pedestrian traffic make the potential usage obvious. The Marketplace actively manages events, promotion and public-space activation.</t>
  </si>
  <si>
    <t>Seasonal branded activation or a covered/indoor partnership rather than a conventional outdoor permanent booth.</t>
  </si>
  <si>
    <t>Covered/indoor common area, seasonal activation, or partnership with a specific Marketplace property.</t>
  </si>
  <si>
    <t>Municipal approvals, weather, security, power and placement rules. High opportunity but much more friction than a private venue.</t>
  </si>
  <si>
    <t>Samantha McGinnis</t>
  </si>
  <si>
    <t>Church Street Marketplace Director</t>
  </si>
  <si>
    <t>smcginnis@burlingtonvt.gov</t>
  </si>
  <si>
    <t>802-863-1648</t>
  </si>
  <si>
    <t>Scout daytime and a Friday evening, but treat this as a planned meeting rather than a walk-in sales call.</t>
  </si>
  <si>
    <t>The Double E</t>
  </si>
  <si>
    <t>Entertainment / Concerts / Private Events</t>
  </si>
  <si>
    <t>21 Essex Way, Suite 300, Essex, VT 05452</t>
  </si>
  <si>
    <t>Multi-space entertainment venue with bar, concerts, outdoor festivals and private parties.</t>
  </si>
  <si>
    <t>The Lounge can host up to roughly 150 guests and includes bar, kitchen and performance infrastructure. The wider campus adds outdoor events and festival traffic.</t>
  </si>
  <si>
    <t>Event-enhancement booth that can serve concerts, parties and themed events, with rotating branded templates.</t>
  </si>
  <si>
    <t>Lounge lobby/entry or shared event circulation area if one location can catch multiple event types.</t>
  </si>
  <si>
    <t>Event-driven traffic and multiple venue footprints may make a single permanent location less obvious. See guest flow in person.</t>
  </si>
  <si>
    <t>Venue / Events Team</t>
  </si>
  <si>
    <t>General venue contact</t>
  </si>
  <si>
    <t>info@doubleevt.com</t>
  </si>
  <si>
    <t>802-878-4200</t>
  </si>
  <si>
    <t>Visit on a concert/private-event night; email first to identify the operational decision-maker.</t>
  </si>
  <si>
    <t>Four Quarters Brewing</t>
  </si>
  <si>
    <t>Brewery / Taproom</t>
  </si>
  <si>
    <t>150 West Canal St, Winooski, VT 05404</t>
  </si>
  <si>
    <t>Good Winooski taproom opportunity with events and an approachable structure, but lower volume/scale than the top targets.</t>
  </si>
  <si>
    <t>Craft-beer audience, events and a social taproom atmosphere make the behavior work. Easy to visit while scouting Waterworks and Monkey House.</t>
  </si>
  <si>
    <t>Low-friction entertainment and social-sharing amenity that reinforces the brewery brand and adds revenue.</t>
  </si>
  <si>
    <t>Taproom wall or event area with visibility from seating and bar traffic.</t>
  </si>
  <si>
    <t>Verify enough Friday/Saturday volume and sufficient floor space to justify a high-value machine.</t>
  </si>
  <si>
    <t>Taproom / Ownership Team</t>
  </si>
  <si>
    <t>General contact</t>
  </si>
  <si>
    <t>fourquartersbrewing@gmail.com</t>
  </si>
  <si>
    <t>802-391-9120</t>
  </si>
  <si>
    <t>Fri/Sat 6–9 PM; easy add-on stop during a Winooski scouting loop.</t>
  </si>
  <si>
    <t>Burlington Photo Booth Prospect Scoring Guide</t>
  </si>
  <si>
    <t>Criterion</t>
  </si>
  <si>
    <t>Weight</t>
  </si>
  <si>
    <t>What a 5 Means</t>
  </si>
  <si>
    <t>Why It Matters</t>
  </si>
  <si>
    <t>Traffic Potential</t>
  </si>
  <si>
    <t>High, repeatable guest volume at the relevant dayparts</t>
  </si>
  <si>
    <t>More transactions and better equipment economics</t>
  </si>
  <si>
    <t>Social / Photo Behavior</t>
  </si>
  <si>
    <t>Guests naturally take/share photos and arrive in celebratory groups</t>
  </si>
  <si>
    <t>Best predictor of booth adoption</t>
  </si>
  <si>
    <t>Group / Dwell Time</t>
  </si>
  <si>
    <t>Guests linger, wait, drink, celebrate or attend events</t>
  </si>
  <si>
    <t>Creates time and social context to use the booth</t>
  </si>
  <si>
    <t>Strong identity that can translate into booth skin and photo-strip art</t>
  </si>
  <si>
    <t>Makes the booth feel like part of the venue</t>
  </si>
  <si>
    <t>Obvious indoor footprint with power, visibility and minimal operational conflict</t>
  </si>
  <si>
    <t>Reduces installation friction</t>
  </si>
  <si>
    <t>Year-Round Strength</t>
  </si>
  <si>
    <t>Traffic remains meaningful across all seasons</t>
  </si>
  <si>
    <t>Improves annual utilization</t>
  </si>
  <si>
    <t>Clear decision-maker and direct outreach path</t>
  </si>
  <si>
    <t>Improves chance of a meeting and faster sales cycle</t>
  </si>
  <si>
    <t>Score / Tier</t>
  </si>
  <si>
    <t>Rule</t>
  </si>
  <si>
    <t>Interpretation</t>
  </si>
  <si>
    <t>Suggested Action</t>
  </si>
  <si>
    <t>A+</t>
  </si>
  <si>
    <t>95+</t>
  </si>
  <si>
    <t>Exceptional fit</t>
  </si>
  <si>
    <t>Email immediately and prioritize an appointment</t>
  </si>
  <si>
    <t>A</t>
  </si>
  <si>
    <t>90–94.9</t>
  </si>
  <si>
    <t>Very strong fit</t>
  </si>
  <si>
    <t>Email before visit and scout in person</t>
  </si>
  <si>
    <t>A-</t>
  </si>
  <si>
    <t>85–89.9</t>
  </si>
  <si>
    <t>Strong but has a meaningful constraint</t>
  </si>
  <si>
    <t>Contact if route-efficient; validate constraint onsite</t>
  </si>
  <si>
    <t>B+</t>
  </si>
  <si>
    <t>80–84.9</t>
  </si>
  <si>
    <t>Promising secondary target</t>
  </si>
  <si>
    <t>Scout if nearby, then decide whether to pursue</t>
  </si>
  <si>
    <t>B</t>
  </si>
  <si>
    <t>Below 80</t>
  </si>
  <si>
    <t>Lower priority</t>
  </si>
  <si>
    <t>Keep in backlog unless new information improves the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</si>
</sst>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11"/>
      <color rgb="FF1F2937"/>
      <name val="Carlito"/>
    </font>
    <font>
      <sz val="11"/>
      <color rgb="FF0563C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D5F8B"/>
      </patternFill>
    </fill>
    <fill>
      <patternFill patternType="solid">
        <fgColor rgb="FFF8FAFC"/>
      </patternFill>
    </fill>
    <fill>
      <patternFill patternType="solid">
        <fgColor rgb="FFDCEAF5"/>
      </patternFill>
    </fill>
    <fill>
      <patternFill patternType="solid">
        <fgColor rgb="FF5B7F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164" fontId="0" fillId="4" borderId="0" xfId="0" applyNumberFormat="1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2" fillId="6" borderId="0" xfId="0" applyFont="1" applyFill="1" applyAlignment="1">
      <alignment horizontal="center" wrapText="1"/>
    </xf>
    <xf numFmtId="0" fontId="5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5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Prospect Scores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invertIfNegative val="1"/>
          <c:cat>
            <c:strRef>
              <c:f>'Executive Summary'!$B$13:$B$22</c:f>
              <c:strCache>
                <c:ptCount val="10"/>
                <c:pt idx="0">
                  <c:v>Rí Rá Irish Pub</c:v>
                </c:pt>
                <c:pt idx="1">
                  <c:v>ECHO, Leahy Center for Lake Champlain</c:v>
                </c:pt>
                <c:pt idx="2">
                  <c:v>Burlington Beer Co.</c:v>
                </c:pt>
                <c:pt idx="3">
                  <c:v>The Archives</c:v>
                </c:pt>
                <c:pt idx="4">
                  <c:v>Higher Ground</c:v>
                </c:pt>
                <c:pt idx="5">
                  <c:v>Foam Brewers - Burlington</c:v>
                </c:pt>
                <c:pt idx="6">
                  <c:v>Black Flannel Brewing &amp; Distilling</c:v>
                </c:pt>
                <c:pt idx="7">
                  <c:v>Waterworks Food + Drink</c:v>
                </c:pt>
                <c:pt idx="8">
                  <c:v>The Harborvale, Autograph Collection</c:v>
                </c:pt>
                <c:pt idx="9">
                  <c:v>Farmhouse Tap &amp; Grill</c:v>
                </c:pt>
              </c:strCache>
            </c:strRef>
          </c:cat>
          <c:val>
            <c:numRef>
              <c:f>'Executive Summary'!$C$13:$C$22</c:f>
              <c:numCache>
                <c:formatCode>0.0</c:formatCode>
                <c:ptCount val="10"/>
                <c:pt idx="0">
                  <c:v>97.5</c:v>
                </c:pt>
                <c:pt idx="1">
                  <c:v>95</c:v>
                </c:pt>
                <c:pt idx="2">
                  <c:v>94.5</c:v>
                </c:pt>
                <c:pt idx="3">
                  <c:v>94</c:v>
                </c:pt>
                <c:pt idx="4">
                  <c:v>94</c:v>
                </c:pt>
                <c:pt idx="5">
                  <c:v>93</c:v>
                </c:pt>
                <c:pt idx="6">
                  <c:v>93</c:v>
                </c:pt>
                <c:pt idx="7">
                  <c:v>92.5</c:v>
                </c:pt>
                <c:pt idx="8">
                  <c:v>92</c:v>
                </c:pt>
                <c:pt idx="9">
                  <c:v>91.5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E-4739-BCF9-473D2FF4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rlingtonProspectsTable" displayName="BurlingtonProspectsTable" ref="A1:AD17" totalsRowShown="0">
  <tableColumns count="30">
    <tableColumn id="1" xr3:uid="{00000000-0010-0000-0000-000001000000}" name="Rank"/>
    <tableColumn id="2" xr3:uid="{00000000-0010-0000-0000-000002000000}" name="Tier"/>
    <tableColumn id="3" xr3:uid="{00000000-0010-0000-0000-000003000000}" name="Venue"/>
    <tableColumn id="4" xr3:uid="{00000000-0010-0000-0000-000004000000}" name="Area"/>
    <tableColumn id="5" xr3:uid="{00000000-0010-0000-0000-000005000000}" name="Category"/>
    <tableColumn id="6" xr3:uid="{00000000-0010-0000-0000-000006000000}" name="Overall Score"/>
    <tableColumn id="7" xr3:uid="{00000000-0010-0000-0000-000007000000}" name="Address"/>
    <tableColumn id="8" xr3:uid="{00000000-0010-0000-0000-000008000000}" name="Fit Summary"/>
    <tableColumn id="9" xr3:uid="{00000000-0010-0000-0000-000009000000}" name="Why It Works"/>
    <tableColumn id="10" xr3:uid="{00000000-0010-0000-0000-00000A000000}" name="Best Outreach Angle"/>
    <tableColumn id="11" xr3:uid="{00000000-0010-0000-0000-00000B000000}" name="Potential Placement"/>
    <tableColumn id="12" xr3:uid="{00000000-0010-0000-0000-00000C000000}" name="Key Risks / Questions"/>
    <tableColumn id="13" xr3:uid="{00000000-0010-0000-0000-00000D000000}" name="Best Contact"/>
    <tableColumn id="14" xr3:uid="{00000000-0010-0000-0000-00000E000000}" name="Role"/>
    <tableColumn id="15" xr3:uid="{00000000-0010-0000-0000-00000F000000}" name="Email / Contact Route"/>
    <tableColumn id="16" xr3:uid="{00000000-0010-0000-0000-000010000000}" name="Phone"/>
    <tableColumn id="17" xr3:uid="{00000000-0010-0000-0000-000011000000}" name="Traffic"/>
    <tableColumn id="18" xr3:uid="{00000000-0010-0000-0000-000012000000}" name="Social / Photo"/>
    <tableColumn id="19" xr3:uid="{00000000-0010-0000-0000-000013000000}" name="Group / Dwell"/>
    <tableColumn id="20" xr3:uid="{00000000-0010-0000-0000-000014000000}" name="Brand Fit"/>
    <tableColumn id="21" xr3:uid="{00000000-0010-0000-0000-000015000000}" name="Placement Feasibility"/>
    <tableColumn id="22" xr3:uid="{00000000-0010-0000-0000-000016000000}" name="Year-Round"/>
    <tableColumn id="23" xr3:uid="{00000000-0010-0000-0000-000017000000}" name="Contactability"/>
    <tableColumn id="24" xr3:uid="{00000000-0010-0000-0000-000018000000}" name="Research Confidence"/>
    <tableColumn id="25" xr3:uid="{00000000-0010-0000-0000-000019000000}" name="Best Scouting Window"/>
    <tableColumn id="26" xr3:uid="{00000000-0010-0000-0000-00001A000000}" name="Primary Source URL"/>
    <tableColumn id="27" xr3:uid="{00000000-0010-0000-0000-00001B000000}" name="Contact Source URL"/>
    <tableColumn id="28" xr3:uid="{00000000-0010-0000-0000-00001C000000}" name="Outreach Status"/>
    <tableColumn id="29" xr3:uid="{00000000-0010-0000-0000-00001D000000}" name="Visit Status"/>
    <tableColumn id="30" xr3:uid="{00000000-0010-0000-0000-00001E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BE00499-3FFB-449A-A65D-016F10D88131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sqref="A1:J1"/>
    </sheetView>
  </sheetViews>
  <sheetFormatPr defaultRowHeight="13.8"/>
  <cols>
    <col min="1" max="1" width="16" customWidth="1"/>
    <col min="2" max="2" width="24.69921875" customWidth="1"/>
    <col min="3" max="3" width="17" customWidth="1"/>
    <col min="4" max="4" width="58" customWidth="1"/>
    <col min="5" max="5" width="4" customWidth="1"/>
    <col min="6" max="6" width="22" customWidth="1"/>
    <col min="7" max="7" width="36" customWidth="1"/>
    <col min="8" max="8" width="45" customWidth="1"/>
    <col min="9" max="9" width="25" customWidth="1"/>
    <col min="10" max="10" width="18" customWidth="1"/>
  </cols>
  <sheetData>
    <row r="1" spans="1:10" ht="27.1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</row>
    <row r="3" spans="1:10">
      <c r="A3" s="17" t="s">
        <v>1</v>
      </c>
      <c r="B3" s="17"/>
      <c r="C3" s="17"/>
      <c r="D3" s="17"/>
      <c r="E3" s="17"/>
      <c r="F3" s="17"/>
      <c r="G3" s="17"/>
      <c r="H3" s="17"/>
      <c r="I3" s="17"/>
      <c r="J3" s="17"/>
    </row>
    <row r="4" spans="1:10">
      <c r="A4" s="17"/>
      <c r="B4" s="17"/>
      <c r="C4" s="17"/>
      <c r="D4" s="17"/>
      <c r="E4" s="17"/>
      <c r="F4" s="17"/>
      <c r="G4" s="17"/>
      <c r="H4" s="17"/>
      <c r="I4" s="17"/>
      <c r="J4" s="17"/>
    </row>
    <row r="6" spans="1:10">
      <c r="A6" s="2" t="s">
        <v>2</v>
      </c>
      <c r="B6" s="2" t="s">
        <v>3</v>
      </c>
      <c r="C6" s="2" t="s">
        <v>4</v>
      </c>
      <c r="D6" s="2" t="s">
        <v>5</v>
      </c>
      <c r="F6" s="18" t="s">
        <v>6</v>
      </c>
      <c r="G6" s="18"/>
      <c r="H6" s="18"/>
      <c r="I6" s="18"/>
      <c r="J6" s="18"/>
    </row>
    <row r="7" spans="1:10" ht="55.2">
      <c r="A7" s="3" t="s">
        <v>7</v>
      </c>
      <c r="B7" s="3">
        <v>16</v>
      </c>
      <c r="C7" s="3" t="s">
        <v>8</v>
      </c>
      <c r="D7" s="3" t="s">
        <v>9</v>
      </c>
      <c r="F7" s="13" t="s">
        <v>10</v>
      </c>
      <c r="G7" s="13" t="s">
        <v>11</v>
      </c>
      <c r="H7" s="13" t="s">
        <v>12</v>
      </c>
      <c r="I7" s="13" t="s">
        <v>13</v>
      </c>
      <c r="J7" s="13" t="s">
        <v>14</v>
      </c>
    </row>
    <row r="8" spans="1:10" ht="55.2">
      <c r="A8" s="3" t="s">
        <v>15</v>
      </c>
      <c r="B8" s="3">
        <f>COUNTIF('Master Prospects'!$B$2:$B$17,"A+")+COUNTIF('Master Prospects'!$B$2:$B$17,"A")</f>
        <v>12</v>
      </c>
      <c r="C8" s="3" t="s">
        <v>16</v>
      </c>
      <c r="D8" s="3" t="s">
        <v>17</v>
      </c>
      <c r="F8" s="3" t="s">
        <v>18</v>
      </c>
      <c r="G8" s="3" t="s">
        <v>19</v>
      </c>
      <c r="H8" s="3" t="s">
        <v>20</v>
      </c>
      <c r="I8" s="3" t="s">
        <v>21</v>
      </c>
      <c r="J8" s="3" t="s">
        <v>22</v>
      </c>
    </row>
    <row r="9" spans="1:10" ht="55.2">
      <c r="A9" s="3" t="s">
        <v>23</v>
      </c>
      <c r="B9" s="3">
        <v>13</v>
      </c>
      <c r="C9" s="3" t="s">
        <v>24</v>
      </c>
      <c r="D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3" t="s">
        <v>30</v>
      </c>
    </row>
    <row r="10" spans="1:10" ht="41.4">
      <c r="A10" s="3" t="s">
        <v>31</v>
      </c>
      <c r="B10" s="3" t="s">
        <v>32</v>
      </c>
      <c r="C10" s="3" t="s">
        <v>33</v>
      </c>
      <c r="D10" s="3" t="s">
        <v>34</v>
      </c>
      <c r="F10" s="3" t="s">
        <v>35</v>
      </c>
      <c r="G10" s="3" t="s">
        <v>36</v>
      </c>
      <c r="H10" s="3" t="s">
        <v>37</v>
      </c>
      <c r="I10" s="3" t="s">
        <v>38</v>
      </c>
      <c r="J10" s="3" t="s">
        <v>30</v>
      </c>
    </row>
    <row r="11" spans="1:10" ht="27.6">
      <c r="F11" s="3" t="s">
        <v>39</v>
      </c>
      <c r="G11" s="3" t="s">
        <v>40</v>
      </c>
      <c r="H11" s="3" t="s">
        <v>41</v>
      </c>
      <c r="I11" s="3" t="s">
        <v>42</v>
      </c>
      <c r="J11" s="3" t="s">
        <v>30</v>
      </c>
    </row>
    <row r="12" spans="1:10" ht="27.6">
      <c r="A12" s="1" t="s">
        <v>43</v>
      </c>
      <c r="B12" s="1" t="s">
        <v>44</v>
      </c>
      <c r="C12" s="1" t="s">
        <v>45</v>
      </c>
      <c r="D12" s="1" t="s">
        <v>46</v>
      </c>
      <c r="F12" s="3" t="s">
        <v>47</v>
      </c>
      <c r="G12" s="3" t="s">
        <v>48</v>
      </c>
      <c r="H12" s="3" t="s">
        <v>49</v>
      </c>
      <c r="I12" s="3" t="s">
        <v>50</v>
      </c>
      <c r="J12" s="3" t="s">
        <v>51</v>
      </c>
    </row>
    <row r="13" spans="1:10" ht="27.6">
      <c r="A13">
        <v>1</v>
      </c>
      <c r="B13" t="s">
        <v>52</v>
      </c>
      <c r="C13" s="6">
        <v>97.5</v>
      </c>
      <c r="D13" s="3" t="s">
        <v>53</v>
      </c>
    </row>
    <row r="14" spans="1:10" ht="27.6">
      <c r="A14">
        <v>2</v>
      </c>
      <c r="B14" t="s">
        <v>54</v>
      </c>
      <c r="C14" s="6">
        <v>95</v>
      </c>
      <c r="D14" s="3" t="s">
        <v>55</v>
      </c>
    </row>
    <row r="15" spans="1:10" ht="27.6">
      <c r="A15">
        <v>3</v>
      </c>
      <c r="B15" t="s">
        <v>56</v>
      </c>
      <c r="C15" s="6">
        <v>94.5</v>
      </c>
      <c r="D15" s="3" t="s">
        <v>57</v>
      </c>
    </row>
    <row r="16" spans="1:10" ht="27.6">
      <c r="A16">
        <v>4</v>
      </c>
      <c r="B16" t="s">
        <v>58</v>
      </c>
      <c r="C16" s="6">
        <v>94</v>
      </c>
      <c r="D16" s="3" t="s">
        <v>59</v>
      </c>
    </row>
    <row r="17" spans="1:4" ht="27.6">
      <c r="A17">
        <v>5</v>
      </c>
      <c r="B17" t="s">
        <v>60</v>
      </c>
      <c r="C17" s="6">
        <v>94</v>
      </c>
      <c r="D17" s="3" t="s">
        <v>61</v>
      </c>
    </row>
    <row r="18" spans="1:4" ht="27.6">
      <c r="A18">
        <v>6</v>
      </c>
      <c r="B18" t="s">
        <v>62</v>
      </c>
      <c r="C18" s="6">
        <v>93</v>
      </c>
      <c r="D18" s="3" t="s">
        <v>63</v>
      </c>
    </row>
    <row r="19" spans="1:4" ht="27.6">
      <c r="A19">
        <v>7</v>
      </c>
      <c r="B19" t="s">
        <v>64</v>
      </c>
      <c r="C19" s="6">
        <v>93</v>
      </c>
      <c r="D19" s="3" t="s">
        <v>65</v>
      </c>
    </row>
    <row r="20" spans="1:4" ht="27.6">
      <c r="A20">
        <v>8</v>
      </c>
      <c r="B20" t="s">
        <v>66</v>
      </c>
      <c r="C20" s="6">
        <v>92.5</v>
      </c>
      <c r="D20" s="3" t="s">
        <v>67</v>
      </c>
    </row>
    <row r="21" spans="1:4" ht="27.6">
      <c r="A21">
        <v>9</v>
      </c>
      <c r="B21" t="s">
        <v>68</v>
      </c>
      <c r="C21" s="6">
        <v>92</v>
      </c>
      <c r="D21" s="3" t="s">
        <v>69</v>
      </c>
    </row>
    <row r="22" spans="1:4" ht="27.6">
      <c r="A22">
        <v>10</v>
      </c>
      <c r="B22" t="s">
        <v>70</v>
      </c>
      <c r="C22" s="6">
        <v>91.5</v>
      </c>
      <c r="D22" s="3" t="s">
        <v>71</v>
      </c>
    </row>
  </sheetData>
  <mergeCells count="3">
    <mergeCell ref="A1:J1"/>
    <mergeCell ref="A3:J4"/>
    <mergeCell ref="F6:J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7"/>
  <sheetViews>
    <sheetView workbookViewId="0">
      <selection activeCell="Z5" sqref="Z5"/>
    </sheetView>
  </sheetViews>
  <sheetFormatPr defaultRowHeight="13.8"/>
  <cols>
    <col min="1" max="2" width="7" customWidth="1"/>
    <col min="3" max="3" width="29" customWidth="1"/>
    <col min="4" max="4" width="20" customWidth="1"/>
    <col min="5" max="5" width="27" customWidth="1"/>
    <col min="6" max="6" width="12" customWidth="1"/>
    <col min="7" max="7" width="34" customWidth="1"/>
    <col min="8" max="8" width="42" customWidth="1"/>
    <col min="9" max="9" width="58" customWidth="1"/>
    <col min="10" max="10" width="45" customWidth="1"/>
    <col min="11" max="11" width="43" customWidth="1"/>
    <col min="12" max="12" width="46" customWidth="1"/>
    <col min="13" max="13" width="22" customWidth="1"/>
    <col min="14" max="14" width="32" customWidth="1"/>
    <col min="15" max="15" width="40" customWidth="1"/>
    <col min="16" max="16" width="18" customWidth="1"/>
    <col min="17" max="17" width="10" customWidth="1"/>
    <col min="18" max="19" width="12" customWidth="1"/>
    <col min="20" max="20" width="10" customWidth="1"/>
    <col min="21" max="21" width="14" customWidth="1"/>
    <col min="22" max="22" width="11" customWidth="1"/>
    <col min="23" max="23" width="12" customWidth="1"/>
    <col min="24" max="24" width="20" customWidth="1"/>
    <col min="25" max="25" width="45" customWidth="1"/>
    <col min="26" max="27" width="42" customWidth="1"/>
    <col min="28" max="28" width="18" customWidth="1"/>
    <col min="29" max="29" width="16" customWidth="1"/>
    <col min="30" max="30" width="32" customWidth="1"/>
  </cols>
  <sheetData>
    <row r="1" spans="1:30" ht="27.15" customHeight="1">
      <c r="A1" s="5" t="s">
        <v>43</v>
      </c>
      <c r="B1" s="5" t="s">
        <v>72</v>
      </c>
      <c r="C1" s="5" t="s">
        <v>73</v>
      </c>
      <c r="D1" s="5" t="s">
        <v>74</v>
      </c>
      <c r="E1" s="5" t="s">
        <v>75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84</v>
      </c>
      <c r="O1" s="5" t="s">
        <v>85</v>
      </c>
      <c r="P1" s="5" t="s">
        <v>86</v>
      </c>
      <c r="Q1" s="5" t="s">
        <v>87</v>
      </c>
      <c r="R1" s="5" t="s">
        <v>88</v>
      </c>
      <c r="S1" s="5" t="s">
        <v>89</v>
      </c>
      <c r="T1" s="5" t="s">
        <v>90</v>
      </c>
      <c r="U1" s="5" t="s">
        <v>91</v>
      </c>
      <c r="V1" s="5" t="s">
        <v>92</v>
      </c>
      <c r="W1" s="5" t="s">
        <v>93</v>
      </c>
      <c r="X1" s="5" t="s">
        <v>94</v>
      </c>
      <c r="Y1" s="5" t="s">
        <v>95</v>
      </c>
      <c r="Z1" s="5" t="s">
        <v>96</v>
      </c>
      <c r="AA1" s="5" t="s">
        <v>97</v>
      </c>
      <c r="AB1" s="5" t="s">
        <v>98</v>
      </c>
      <c r="AC1" s="5" t="s">
        <v>99</v>
      </c>
      <c r="AD1" s="5" t="s">
        <v>100</v>
      </c>
    </row>
    <row r="2" spans="1:30" ht="55.2">
      <c r="A2" s="10" t="e">
        <f ca="1">_xludf.RANK.EQ(F2,$F$2:$F$17,0)+COUNTIF($F$2:F2,F2)-1</f>
        <v>#NAME?</v>
      </c>
      <c r="B2" s="10" t="str">
        <f t="shared" ref="B2:B17" si="0">IF(F2&gt;=95,"A+",IF(F2&gt;=90,"A",IF(F2&gt;=85,"A-",IF(F2&gt;=80,"B+","B"))))</f>
        <v>A+</v>
      </c>
      <c r="C2" s="10" t="s">
        <v>52</v>
      </c>
      <c r="D2" s="10" t="s">
        <v>101</v>
      </c>
      <c r="E2" s="10" t="s">
        <v>102</v>
      </c>
      <c r="F2" s="11">
        <f>ROUND((Q2*'Scoring Guide'!$B$4+R2*'Scoring Guide'!$B$5+S2*'Scoring Guide'!$B$6+T2*'Scoring Guide'!$B$7+U2*'Scoring Guide'!$B$8+V2*'Scoring Guide'!$B$9+W2*'Scoring Guide'!$B$10)/5*100,1)</f>
        <v>97.5</v>
      </c>
      <c r="G2" s="12" t="s">
        <v>103</v>
      </c>
      <c r="H2" s="12" t="s">
        <v>53</v>
      </c>
      <c r="I2" s="12" t="s">
        <v>104</v>
      </c>
      <c r="J2" s="12" t="s">
        <v>105</v>
      </c>
      <c r="K2" s="12" t="s">
        <v>106</v>
      </c>
      <c r="L2" s="12" t="s">
        <v>107</v>
      </c>
      <c r="M2" s="12" t="s">
        <v>108</v>
      </c>
      <c r="N2" s="12" t="s">
        <v>109</v>
      </c>
      <c r="O2" s="12" t="s">
        <v>110</v>
      </c>
      <c r="P2" s="12" t="s">
        <v>111</v>
      </c>
      <c r="Q2" s="11">
        <v>5</v>
      </c>
      <c r="R2" s="11">
        <v>5</v>
      </c>
      <c r="S2" s="11">
        <v>5</v>
      </c>
      <c r="T2" s="11">
        <v>4.5</v>
      </c>
      <c r="U2" s="11">
        <v>4.5</v>
      </c>
      <c r="V2" s="11">
        <v>5</v>
      </c>
      <c r="W2" s="11">
        <v>5</v>
      </c>
      <c r="X2" s="12" t="s">
        <v>30</v>
      </c>
      <c r="Y2" s="12" t="s">
        <v>112</v>
      </c>
      <c r="Z2" s="14" t="str">
        <f>HYPERLINK("https://rira.com/burlington/about-rira/","https://rira.com/burlington/about-rira/")</f>
        <v>https://rira.com/burlington/about-rira/</v>
      </c>
      <c r="AA2" s="14" t="str">
        <f>HYPERLINK("https://rira.com/burlington/about-rira/","https://rira.com/burlington/about-rira/")</f>
        <v>https://rira.com/burlington/about-rira/</v>
      </c>
      <c r="AB2" s="12" t="s">
        <v>113</v>
      </c>
      <c r="AC2" s="12" t="s">
        <v>114</v>
      </c>
      <c r="AD2" s="12"/>
    </row>
    <row r="3" spans="1:30" ht="55.2">
      <c r="A3" s="7" t="e">
        <f ca="1">_xludf.RANK.EQ(F3,$F$2:$F$17,0)+COUNTIF($F$2:F3,F3)-1</f>
        <v>#NAME?</v>
      </c>
      <c r="B3" s="7" t="str">
        <f t="shared" si="0"/>
        <v>A+</v>
      </c>
      <c r="C3" s="7" t="s">
        <v>54</v>
      </c>
      <c r="D3" s="7" t="s">
        <v>115</v>
      </c>
      <c r="E3" s="7" t="s">
        <v>116</v>
      </c>
      <c r="F3" s="8">
        <f>ROUND((Q3*'Scoring Guide'!$B$4+R3*'Scoring Guide'!$B$5+S3*'Scoring Guide'!$B$6+T3*'Scoring Guide'!$B$7+U3*'Scoring Guide'!$B$8+V3*'Scoring Guide'!$B$9+W3*'Scoring Guide'!$B$10)/5*100,1)</f>
        <v>95</v>
      </c>
      <c r="G3" s="9" t="s">
        <v>117</v>
      </c>
      <c r="H3" s="9" t="s">
        <v>55</v>
      </c>
      <c r="I3" s="9" t="s">
        <v>118</v>
      </c>
      <c r="J3" s="9" t="s">
        <v>119</v>
      </c>
      <c r="K3" s="9" t="s">
        <v>120</v>
      </c>
      <c r="L3" s="9" t="s">
        <v>121</v>
      </c>
      <c r="M3" s="9" t="s">
        <v>122</v>
      </c>
      <c r="N3" s="9" t="s">
        <v>123</v>
      </c>
      <c r="O3" s="9" t="s">
        <v>124</v>
      </c>
      <c r="P3" s="9" t="s">
        <v>125</v>
      </c>
      <c r="Q3" s="8">
        <v>4.5</v>
      </c>
      <c r="R3" s="8">
        <v>5</v>
      </c>
      <c r="S3" s="8">
        <v>4.5</v>
      </c>
      <c r="T3" s="8">
        <v>5</v>
      </c>
      <c r="U3" s="8">
        <v>4.5</v>
      </c>
      <c r="V3" s="8">
        <v>5</v>
      </c>
      <c r="W3" s="8">
        <v>5</v>
      </c>
      <c r="X3" s="9" t="s">
        <v>30</v>
      </c>
      <c r="Y3" s="9" t="s">
        <v>126</v>
      </c>
      <c r="Z3" s="15" t="str">
        <f>HYPERLINK("https://www.echovermont.org/about-echo/people/","https://www.echovermont.org/about-echo/people/")</f>
        <v>https://www.echovermont.org/about-echo/people/</v>
      </c>
      <c r="AA3" s="15" t="str">
        <f>HYPERLINK("https://findandgoseek.net/dinosaur-safari-exhibit-member-preview-party-echo","https://findandgoseek.net/dinosaur-safari-exhibit-member-preview-party-echo")</f>
        <v>https://findandgoseek.net/dinosaur-safari-exhibit-member-preview-party-echo</v>
      </c>
      <c r="AB3" s="9" t="s">
        <v>113</v>
      </c>
      <c r="AC3" s="9" t="s">
        <v>114</v>
      </c>
      <c r="AD3" s="9"/>
    </row>
    <row r="4" spans="1:30" ht="41.4">
      <c r="A4" s="10" t="e">
        <f ca="1">_xludf.RANK.EQ(F4,$F$2:$F$17,0)+COUNTIF($F$2:F4,F4)-1</f>
        <v>#NAME?</v>
      </c>
      <c r="B4" s="10" t="str">
        <f t="shared" si="0"/>
        <v>A</v>
      </c>
      <c r="C4" s="10" t="s">
        <v>56</v>
      </c>
      <c r="D4" s="10" t="s">
        <v>127</v>
      </c>
      <c r="E4" s="10" t="s">
        <v>128</v>
      </c>
      <c r="F4" s="11">
        <f>ROUND((Q4*'Scoring Guide'!$B$4+R4*'Scoring Guide'!$B$5+S4*'Scoring Guide'!$B$6+T4*'Scoring Guide'!$B$7+U4*'Scoring Guide'!$B$8+V4*'Scoring Guide'!$B$9+W4*'Scoring Guide'!$B$10)/5*100,1)</f>
        <v>94.5</v>
      </c>
      <c r="G4" s="12" t="s">
        <v>129</v>
      </c>
      <c r="H4" s="12" t="s">
        <v>57</v>
      </c>
      <c r="I4" s="12" t="s">
        <v>130</v>
      </c>
      <c r="J4" s="12" t="s">
        <v>131</v>
      </c>
      <c r="K4" s="12" t="s">
        <v>132</v>
      </c>
      <c r="L4" s="12" t="s">
        <v>133</v>
      </c>
      <c r="M4" s="12" t="s">
        <v>134</v>
      </c>
      <c r="N4" s="12" t="s">
        <v>135</v>
      </c>
      <c r="O4" s="12" t="s">
        <v>136</v>
      </c>
      <c r="P4" s="12" t="s">
        <v>137</v>
      </c>
      <c r="Q4" s="11">
        <v>4.5</v>
      </c>
      <c r="R4" s="11">
        <v>4.5</v>
      </c>
      <c r="S4" s="11">
        <v>5</v>
      </c>
      <c r="T4" s="11">
        <v>5</v>
      </c>
      <c r="U4" s="11">
        <v>5</v>
      </c>
      <c r="V4" s="11">
        <v>5</v>
      </c>
      <c r="W4" s="11">
        <v>4.5</v>
      </c>
      <c r="X4" s="12" t="s">
        <v>51</v>
      </c>
      <c r="Y4" s="12" t="s">
        <v>138</v>
      </c>
      <c r="Z4" s="14" t="str">
        <f>HYPERLINK("https://www.burlingtonbeercompany.com/visit-us","https://www.burlingtonbeercompany.com/visit-us")</f>
        <v>https://www.burlingtonbeercompany.com/visit-us</v>
      </c>
      <c r="AA4" s="14" t="str">
        <f>HYPERLINK("https://www.vermontbrewers.com/wp-content/uploads/2024/02/2024-Committees-Contacts.pdf","https://www.vermontbrewers.com/wp-content/uploads/2024/02/2024-Committees-Contacts.pdf")</f>
        <v>https://www.vermontbrewers.com/wp-content/uploads/2024/02/2024-Committees-Contacts.pdf</v>
      </c>
      <c r="AB4" s="12" t="s">
        <v>113</v>
      </c>
      <c r="AC4" s="12" t="s">
        <v>114</v>
      </c>
      <c r="AD4" s="12"/>
    </row>
    <row r="5" spans="1:30" ht="41.4">
      <c r="A5" s="7" t="e">
        <f ca="1">_xludf.RANK.EQ(F5,$F$2:$F$17,0)+COUNTIF($F$2:F5,F5)-1</f>
        <v>#NAME?</v>
      </c>
      <c r="B5" s="7" t="str">
        <f t="shared" si="0"/>
        <v>A</v>
      </c>
      <c r="C5" s="7" t="s">
        <v>58</v>
      </c>
      <c r="D5" s="7" t="s">
        <v>139</v>
      </c>
      <c r="E5" s="7" t="s">
        <v>140</v>
      </c>
      <c r="F5" s="8">
        <f>ROUND((Q5*'Scoring Guide'!$B$4+R5*'Scoring Guide'!$B$5+S5*'Scoring Guide'!$B$6+T5*'Scoring Guide'!$B$7+U5*'Scoring Guide'!$B$8+V5*'Scoring Guide'!$B$9+W5*'Scoring Guide'!$B$10)/5*100,1)</f>
        <v>94</v>
      </c>
      <c r="G5" s="9" t="s">
        <v>141</v>
      </c>
      <c r="H5" s="9" t="s">
        <v>59</v>
      </c>
      <c r="I5" s="9" t="s">
        <v>142</v>
      </c>
      <c r="J5" s="9" t="s">
        <v>143</v>
      </c>
      <c r="K5" s="9" t="s">
        <v>144</v>
      </c>
      <c r="L5" s="9" t="s">
        <v>145</v>
      </c>
      <c r="M5" s="9" t="s">
        <v>146</v>
      </c>
      <c r="N5" s="9" t="s">
        <v>147</v>
      </c>
      <c r="O5" s="9" t="s">
        <v>148</v>
      </c>
      <c r="P5" s="9"/>
      <c r="Q5" s="8">
        <v>4</v>
      </c>
      <c r="R5" s="8">
        <v>5</v>
      </c>
      <c r="S5" s="8">
        <v>5</v>
      </c>
      <c r="T5" s="8">
        <v>5</v>
      </c>
      <c r="U5" s="8">
        <v>4.5</v>
      </c>
      <c r="V5" s="8">
        <v>5</v>
      </c>
      <c r="W5" s="8">
        <v>5</v>
      </c>
      <c r="X5" s="9" t="s">
        <v>30</v>
      </c>
      <c r="Y5" s="9" t="s">
        <v>149</v>
      </c>
      <c r="Z5" s="15" t="str">
        <f>HYPERLINK("https://thearchivesbar.com/","https://thearchivesbar.com/")</f>
        <v>https://thearchivesbar.com/</v>
      </c>
      <c r="AA5" s="15" t="str">
        <f>HYPERLINK("https://thearchivesbar.com/","https://thearchivesbar.com/")</f>
        <v>https://thearchivesbar.com/</v>
      </c>
      <c r="AB5" s="9" t="s">
        <v>113</v>
      </c>
      <c r="AC5" s="9" t="s">
        <v>114</v>
      </c>
      <c r="AD5" s="9"/>
    </row>
    <row r="6" spans="1:30" ht="41.4">
      <c r="A6" s="10" t="e">
        <f ca="1">_xludf.RANK.EQ(F6,$F$2:$F$17,0)+COUNTIF($F$2:F6,F6)-1</f>
        <v>#NAME?</v>
      </c>
      <c r="B6" s="10" t="str">
        <f t="shared" si="0"/>
        <v>A</v>
      </c>
      <c r="C6" s="10" t="s">
        <v>60</v>
      </c>
      <c r="D6" s="10" t="s">
        <v>150</v>
      </c>
      <c r="E6" s="10" t="s">
        <v>151</v>
      </c>
      <c r="F6" s="11">
        <f>ROUND((Q6*'Scoring Guide'!$B$4+R6*'Scoring Guide'!$B$5+S6*'Scoring Guide'!$B$6+T6*'Scoring Guide'!$B$7+U6*'Scoring Guide'!$B$8+V6*'Scoring Guide'!$B$9+W6*'Scoring Guide'!$B$10)/5*100,1)</f>
        <v>94</v>
      </c>
      <c r="G6" s="12" t="s">
        <v>152</v>
      </c>
      <c r="H6" s="12" t="s">
        <v>61</v>
      </c>
      <c r="I6" s="12" t="s">
        <v>153</v>
      </c>
      <c r="J6" s="12" t="s">
        <v>154</v>
      </c>
      <c r="K6" s="12" t="s">
        <v>155</v>
      </c>
      <c r="L6" s="12" t="s">
        <v>156</v>
      </c>
      <c r="M6" s="12" t="s">
        <v>157</v>
      </c>
      <c r="N6" s="12" t="s">
        <v>158</v>
      </c>
      <c r="O6" s="12" t="s">
        <v>159</v>
      </c>
      <c r="P6" s="12" t="s">
        <v>160</v>
      </c>
      <c r="Q6" s="11">
        <v>4.5</v>
      </c>
      <c r="R6" s="11">
        <v>5</v>
      </c>
      <c r="S6" s="11">
        <v>4.5</v>
      </c>
      <c r="T6" s="11">
        <v>5</v>
      </c>
      <c r="U6" s="11">
        <v>4.5</v>
      </c>
      <c r="V6" s="11">
        <v>5</v>
      </c>
      <c r="W6" s="11">
        <v>4.5</v>
      </c>
      <c r="X6" s="12" t="s">
        <v>161</v>
      </c>
      <c r="Y6" s="12" t="s">
        <v>162</v>
      </c>
      <c r="Z6" s="14" t="str">
        <f>HYPERLINK("https://highergroundmusic.com/rentals/","https://highergroundmusic.com/rentals/")</f>
        <v>https://highergroundmusic.com/rentals/</v>
      </c>
      <c r="AA6" s="14" t="str">
        <f>HYPERLINK("https://portal.nivassoc.org/directory/Details/higher-ground-1625063?rendermode=print","https://portal.nivassoc.org/directory/Details/higher-ground-1625063?rendermode=print")</f>
        <v>https://portal.nivassoc.org/directory/Details/higher-ground-1625063?rendermode=print</v>
      </c>
      <c r="AB6" s="12" t="s">
        <v>113</v>
      </c>
      <c r="AC6" s="12" t="s">
        <v>114</v>
      </c>
      <c r="AD6" s="12"/>
    </row>
    <row r="7" spans="1:30" ht="41.4">
      <c r="A7" s="7" t="e">
        <f ca="1">_xludf.RANK.EQ(F7,$F$2:$F$17,0)+COUNTIF($F$2:F7,F7)-1</f>
        <v>#NAME?</v>
      </c>
      <c r="B7" s="7" t="str">
        <f t="shared" si="0"/>
        <v>A</v>
      </c>
      <c r="C7" s="7" t="s">
        <v>62</v>
      </c>
      <c r="D7" s="7" t="s">
        <v>115</v>
      </c>
      <c r="E7" s="7" t="s">
        <v>163</v>
      </c>
      <c r="F7" s="8">
        <f>ROUND((Q7*'Scoring Guide'!$B$4+R7*'Scoring Guide'!$B$5+S7*'Scoring Guide'!$B$6+T7*'Scoring Guide'!$B$7+U7*'Scoring Guide'!$B$8+V7*'Scoring Guide'!$B$9+W7*'Scoring Guide'!$B$10)/5*100,1)</f>
        <v>93</v>
      </c>
      <c r="G7" s="9" t="s">
        <v>164</v>
      </c>
      <c r="H7" s="9" t="s">
        <v>63</v>
      </c>
      <c r="I7" s="9" t="s">
        <v>165</v>
      </c>
      <c r="J7" s="9" t="s">
        <v>166</v>
      </c>
      <c r="K7" s="9" t="s">
        <v>167</v>
      </c>
      <c r="L7" s="9" t="s">
        <v>168</v>
      </c>
      <c r="M7" s="9" t="s">
        <v>169</v>
      </c>
      <c r="N7" s="9" t="s">
        <v>170</v>
      </c>
      <c r="O7" s="9" t="s">
        <v>171</v>
      </c>
      <c r="P7" s="9" t="s">
        <v>172</v>
      </c>
      <c r="Q7" s="8">
        <v>4.5</v>
      </c>
      <c r="R7" s="8">
        <v>5</v>
      </c>
      <c r="S7" s="8">
        <v>5</v>
      </c>
      <c r="T7" s="8">
        <v>5</v>
      </c>
      <c r="U7" s="8">
        <v>4</v>
      </c>
      <c r="V7" s="8">
        <v>4.5</v>
      </c>
      <c r="W7" s="8">
        <v>4</v>
      </c>
      <c r="X7" s="9" t="s">
        <v>173</v>
      </c>
      <c r="Y7" s="9" t="s">
        <v>174</v>
      </c>
      <c r="Z7" s="15" t="str">
        <f>HYPERLINK("https://www.foambrewers.com/","https://www.foambrewers.com/")</f>
        <v>https://www.foambrewers.com/</v>
      </c>
      <c r="AA7" s="15" t="str">
        <f>HYPERLINK("https://www.foambrewers.com/contact","https://www.foambrewers.com/contact")</f>
        <v>https://www.foambrewers.com/contact</v>
      </c>
      <c r="AB7" s="9" t="s">
        <v>113</v>
      </c>
      <c r="AC7" s="9" t="s">
        <v>114</v>
      </c>
      <c r="AD7" s="9"/>
    </row>
    <row r="8" spans="1:30" ht="41.4">
      <c r="A8" s="10" t="e">
        <f ca="1">_xludf.RANK.EQ(F8,$F$2:$F$17,0)+COUNTIF($F$2:F8,F8)-1</f>
        <v>#NAME?</v>
      </c>
      <c r="B8" s="10" t="str">
        <f t="shared" si="0"/>
        <v>A</v>
      </c>
      <c r="C8" s="10" t="s">
        <v>64</v>
      </c>
      <c r="D8" s="10" t="s">
        <v>47</v>
      </c>
      <c r="E8" s="10" t="s">
        <v>175</v>
      </c>
      <c r="F8" s="11">
        <f>ROUND((Q8*'Scoring Guide'!$B$4+R8*'Scoring Guide'!$B$5+S8*'Scoring Guide'!$B$6+T8*'Scoring Guide'!$B$7+U8*'Scoring Guide'!$B$8+V8*'Scoring Guide'!$B$9+W8*'Scoring Guide'!$B$10)/5*100,1)</f>
        <v>93</v>
      </c>
      <c r="G8" s="12" t="s">
        <v>176</v>
      </c>
      <c r="H8" s="12" t="s">
        <v>65</v>
      </c>
      <c r="I8" s="12" t="s">
        <v>177</v>
      </c>
      <c r="J8" s="12" t="s">
        <v>178</v>
      </c>
      <c r="K8" s="12" t="s">
        <v>179</v>
      </c>
      <c r="L8" s="12" t="s">
        <v>180</v>
      </c>
      <c r="M8" s="12" t="s">
        <v>181</v>
      </c>
      <c r="N8" s="12" t="s">
        <v>182</v>
      </c>
      <c r="O8" s="12" t="s">
        <v>183</v>
      </c>
      <c r="P8" s="12" t="s">
        <v>184</v>
      </c>
      <c r="Q8" s="11">
        <v>4</v>
      </c>
      <c r="R8" s="11">
        <v>4.5</v>
      </c>
      <c r="S8" s="11">
        <v>5</v>
      </c>
      <c r="T8" s="11">
        <v>5</v>
      </c>
      <c r="U8" s="11">
        <v>5</v>
      </c>
      <c r="V8" s="11">
        <v>5</v>
      </c>
      <c r="W8" s="11">
        <v>5</v>
      </c>
      <c r="X8" s="12" t="s">
        <v>30</v>
      </c>
      <c r="Y8" s="12" t="s">
        <v>185</v>
      </c>
      <c r="Z8" s="14" t="str">
        <f>HYPERLINK("https://www.blackflannel.com/our-team/","https://www.blackflannel.com/our-team/")</f>
        <v>https://www.blackflannel.com/our-team/</v>
      </c>
      <c r="AA8" s="14" t="str">
        <f>HYPERLINK("https://www.blackflannel.com/our-team/","https://www.blackflannel.com/our-team/")</f>
        <v>https://www.blackflannel.com/our-team/</v>
      </c>
      <c r="AB8" s="12" t="s">
        <v>113</v>
      </c>
      <c r="AC8" s="12" t="s">
        <v>114</v>
      </c>
      <c r="AD8" s="12"/>
    </row>
    <row r="9" spans="1:30" ht="41.4">
      <c r="A9" s="7" t="e">
        <f ca="1">_xludf.RANK.EQ(F9,$F$2:$F$17,0)+COUNTIF($F$2:F9,F9)-1</f>
        <v>#NAME?</v>
      </c>
      <c r="B9" s="7" t="str">
        <f t="shared" si="0"/>
        <v>A</v>
      </c>
      <c r="C9" s="7" t="s">
        <v>66</v>
      </c>
      <c r="D9" s="7" t="s">
        <v>39</v>
      </c>
      <c r="E9" s="7" t="s">
        <v>186</v>
      </c>
      <c r="F9" s="8">
        <f>ROUND((Q9*'Scoring Guide'!$B$4+R9*'Scoring Guide'!$B$5+S9*'Scoring Guide'!$B$6+T9*'Scoring Guide'!$B$7+U9*'Scoring Guide'!$B$8+V9*'Scoring Guide'!$B$9+W9*'Scoring Guide'!$B$10)/5*100,1)</f>
        <v>92.5</v>
      </c>
      <c r="G9" s="9" t="s">
        <v>187</v>
      </c>
      <c r="H9" s="9" t="s">
        <v>67</v>
      </c>
      <c r="I9" s="9" t="s">
        <v>188</v>
      </c>
      <c r="J9" s="9" t="s">
        <v>189</v>
      </c>
      <c r="K9" s="9" t="s">
        <v>190</v>
      </c>
      <c r="L9" s="9" t="s">
        <v>191</v>
      </c>
      <c r="M9" s="9" t="s">
        <v>192</v>
      </c>
      <c r="N9" s="9" t="s">
        <v>193</v>
      </c>
      <c r="O9" s="9" t="s">
        <v>194</v>
      </c>
      <c r="P9" s="9" t="s">
        <v>195</v>
      </c>
      <c r="Q9" s="8">
        <v>4.5</v>
      </c>
      <c r="R9" s="8">
        <v>4.5</v>
      </c>
      <c r="S9" s="8">
        <v>5</v>
      </c>
      <c r="T9" s="8">
        <v>5</v>
      </c>
      <c r="U9" s="8">
        <v>4</v>
      </c>
      <c r="V9" s="8">
        <v>5</v>
      </c>
      <c r="W9" s="8">
        <v>4.5</v>
      </c>
      <c r="X9" s="9" t="s">
        <v>30</v>
      </c>
      <c r="Y9" s="9" t="s">
        <v>196</v>
      </c>
      <c r="Z9" s="15" t="str">
        <f>HYPERLINK("https://www.waterworksvt.com/events","https://www.waterworksvt.com/events")</f>
        <v>https://www.waterworksvt.com/events</v>
      </c>
      <c r="AA9" s="15" t="str">
        <f>HYPERLINK("https://downtownwinooski.org/who-we-are/","https://downtownwinooski.org/who-we-are/")</f>
        <v>https://downtownwinooski.org/who-we-are/</v>
      </c>
      <c r="AB9" s="9" t="s">
        <v>113</v>
      </c>
      <c r="AC9" s="9" t="s">
        <v>114</v>
      </c>
      <c r="AD9" s="9"/>
    </row>
    <row r="10" spans="1:30" ht="41.4">
      <c r="A10" s="10" t="e">
        <f ca="1">_xludf.RANK.EQ(F10,$F$2:$F$17,0)+COUNTIF($F$2:F10,F10)-1</f>
        <v>#NAME?</v>
      </c>
      <c r="B10" s="10" t="str">
        <f t="shared" si="0"/>
        <v>A</v>
      </c>
      <c r="C10" s="10" t="s">
        <v>68</v>
      </c>
      <c r="D10" s="10" t="s">
        <v>197</v>
      </c>
      <c r="E10" s="10" t="s">
        <v>198</v>
      </c>
      <c r="F10" s="11">
        <f>ROUND((Q10*'Scoring Guide'!$B$4+R10*'Scoring Guide'!$B$5+S10*'Scoring Guide'!$B$6+T10*'Scoring Guide'!$B$7+U10*'Scoring Guide'!$B$8+V10*'Scoring Guide'!$B$9+W10*'Scoring Guide'!$B$10)/5*100,1)</f>
        <v>92</v>
      </c>
      <c r="G10" s="12" t="s">
        <v>199</v>
      </c>
      <c r="H10" s="12" t="s">
        <v>69</v>
      </c>
      <c r="I10" s="12" t="s">
        <v>200</v>
      </c>
      <c r="J10" s="12" t="s">
        <v>201</v>
      </c>
      <c r="K10" s="12" t="s">
        <v>202</v>
      </c>
      <c r="L10" s="12" t="s">
        <v>203</v>
      </c>
      <c r="M10" s="12" t="s">
        <v>204</v>
      </c>
      <c r="N10" s="12" t="s">
        <v>205</v>
      </c>
      <c r="O10" s="12" t="s">
        <v>206</v>
      </c>
      <c r="P10" s="12" t="s">
        <v>207</v>
      </c>
      <c r="Q10" s="11">
        <v>4</v>
      </c>
      <c r="R10" s="11">
        <v>4.5</v>
      </c>
      <c r="S10" s="11">
        <v>5</v>
      </c>
      <c r="T10" s="11">
        <v>5</v>
      </c>
      <c r="U10" s="11">
        <v>4.5</v>
      </c>
      <c r="V10" s="11">
        <v>5</v>
      </c>
      <c r="W10" s="11">
        <v>5</v>
      </c>
      <c r="X10" s="12" t="s">
        <v>30</v>
      </c>
      <c r="Y10" s="12" t="s">
        <v>208</v>
      </c>
      <c r="Z10" s="14" t="str">
        <f>HYPERLINK("https://theharborvale.com/meet","https://theharborvale.com/meet")</f>
        <v>https://theharborvale.com/meet</v>
      </c>
      <c r="AA10" s="14" t="str">
        <f>HYPERLINK("https://theharborvale.com/meet","https://theharborvale.com/meet")</f>
        <v>https://theharborvale.com/meet</v>
      </c>
      <c r="AB10" s="12" t="s">
        <v>113</v>
      </c>
      <c r="AC10" s="12" t="s">
        <v>114</v>
      </c>
      <c r="AD10" s="12"/>
    </row>
    <row r="11" spans="1:30" ht="41.4">
      <c r="A11" s="7" t="e">
        <f ca="1">_xludf.RANK.EQ(F11,$F$2:$F$17,0)+COUNTIF($F$2:F11,F11)-1</f>
        <v>#NAME?</v>
      </c>
      <c r="B11" s="7" t="str">
        <f t="shared" si="0"/>
        <v>A</v>
      </c>
      <c r="C11" s="7" t="s">
        <v>70</v>
      </c>
      <c r="D11" s="7" t="s">
        <v>139</v>
      </c>
      <c r="E11" s="7" t="s">
        <v>209</v>
      </c>
      <c r="F11" s="8">
        <f>ROUND((Q11*'Scoring Guide'!$B$4+R11*'Scoring Guide'!$B$5+S11*'Scoring Guide'!$B$6+T11*'Scoring Guide'!$B$7+U11*'Scoring Guide'!$B$8+V11*'Scoring Guide'!$B$9+W11*'Scoring Guide'!$B$10)/5*100,1)</f>
        <v>91.5</v>
      </c>
      <c r="G11" s="9" t="s">
        <v>210</v>
      </c>
      <c r="H11" s="9" t="s">
        <v>71</v>
      </c>
      <c r="I11" s="9" t="s">
        <v>211</v>
      </c>
      <c r="J11" s="9" t="s">
        <v>212</v>
      </c>
      <c r="K11" s="9" t="s">
        <v>213</v>
      </c>
      <c r="L11" s="9" t="s">
        <v>214</v>
      </c>
      <c r="M11" s="9" t="s">
        <v>215</v>
      </c>
      <c r="N11" s="9" t="s">
        <v>216</v>
      </c>
      <c r="O11" s="9" t="s">
        <v>217</v>
      </c>
      <c r="P11" s="9" t="s">
        <v>218</v>
      </c>
      <c r="Q11" s="8">
        <v>5</v>
      </c>
      <c r="R11" s="8">
        <v>4.5</v>
      </c>
      <c r="S11" s="8">
        <v>5</v>
      </c>
      <c r="T11" s="8">
        <v>4.5</v>
      </c>
      <c r="U11" s="8">
        <v>4</v>
      </c>
      <c r="V11" s="8">
        <v>5</v>
      </c>
      <c r="W11" s="8">
        <v>3.5</v>
      </c>
      <c r="X11" s="9" t="s">
        <v>51</v>
      </c>
      <c r="Y11" s="9" t="s">
        <v>219</v>
      </c>
      <c r="Z11" s="15" t="str">
        <f>HYPERLINK("https://burlington.farmhousetg.com/contact-us","https://burlington.farmhousetg.com/contact-us")</f>
        <v>https://burlington.farmhousetg.com/contact-us</v>
      </c>
      <c r="AA11" s="15" t="str">
        <f>HYPERLINK("https://www.signalhire.com/profiles/scott-olmstead%27s-email/130662432","https://www.signalhire.com/profiles/scott-olmstead%27s-email/130662432")</f>
        <v>https://www.signalhire.com/profiles/scott-olmstead%27s-email/130662432</v>
      </c>
      <c r="AB11" s="9" t="s">
        <v>113</v>
      </c>
      <c r="AC11" s="9" t="s">
        <v>114</v>
      </c>
      <c r="AD11" s="9"/>
    </row>
    <row r="12" spans="1:30" ht="41.4">
      <c r="A12" s="10" t="e">
        <f ca="1">_xludf.RANK.EQ(F12,$F$2:$F$17,0)+COUNTIF($F$2:F12,F12)-1</f>
        <v>#NAME?</v>
      </c>
      <c r="B12" s="10" t="str">
        <f t="shared" si="0"/>
        <v>A</v>
      </c>
      <c r="C12" s="10" t="s">
        <v>220</v>
      </c>
      <c r="D12" s="10" t="s">
        <v>139</v>
      </c>
      <c r="E12" s="10" t="s">
        <v>221</v>
      </c>
      <c r="F12" s="11">
        <f>ROUND((Q12*'Scoring Guide'!$B$4+R12*'Scoring Guide'!$B$5+S12*'Scoring Guide'!$B$6+T12*'Scoring Guide'!$B$7+U12*'Scoring Guide'!$B$8+V12*'Scoring Guide'!$B$9+W12*'Scoring Guide'!$B$10)/5*100,1)</f>
        <v>91.5</v>
      </c>
      <c r="G12" s="12" t="s">
        <v>222</v>
      </c>
      <c r="H12" s="12" t="s">
        <v>223</v>
      </c>
      <c r="I12" s="12" t="s">
        <v>224</v>
      </c>
      <c r="J12" s="12" t="s">
        <v>225</v>
      </c>
      <c r="K12" s="12" t="s">
        <v>226</v>
      </c>
      <c r="L12" s="12" t="s">
        <v>227</v>
      </c>
      <c r="M12" s="12" t="s">
        <v>228</v>
      </c>
      <c r="N12" s="12" t="s">
        <v>229</v>
      </c>
      <c r="O12" s="12" t="s">
        <v>230</v>
      </c>
      <c r="P12" s="12" t="s">
        <v>231</v>
      </c>
      <c r="Q12" s="11">
        <v>4.5</v>
      </c>
      <c r="R12" s="11">
        <v>4.5</v>
      </c>
      <c r="S12" s="11">
        <v>5</v>
      </c>
      <c r="T12" s="11">
        <v>5</v>
      </c>
      <c r="U12" s="11">
        <v>4.5</v>
      </c>
      <c r="V12" s="11">
        <v>5</v>
      </c>
      <c r="W12" s="11">
        <v>3.5</v>
      </c>
      <c r="X12" s="12" t="s">
        <v>30</v>
      </c>
      <c r="Y12" s="12" t="s">
        <v>232</v>
      </c>
      <c r="Z12" s="14" t="str">
        <f>HYPERLINK("https://hotelvt.com/gather/","https://hotelvt.com/gather/")</f>
        <v>https://hotelvt.com/gather/</v>
      </c>
      <c r="AA12" s="14" t="str">
        <f>HYPERLINK("https://www.westporthospitality.com/team","https://www.westporthospitality.com/team")</f>
        <v>https://www.westporthospitality.com/team</v>
      </c>
      <c r="AB12" s="12" t="s">
        <v>113</v>
      </c>
      <c r="AC12" s="12" t="s">
        <v>114</v>
      </c>
      <c r="AD12" s="12"/>
    </row>
    <row r="13" spans="1:30" ht="41.4">
      <c r="A13" s="7" t="e">
        <f ca="1">_xludf.RANK.EQ(F13,$F$2:$F$17,0)+COUNTIF($F$2:F13,F13)-1</f>
        <v>#NAME?</v>
      </c>
      <c r="B13" s="7" t="str">
        <f t="shared" si="0"/>
        <v>A</v>
      </c>
      <c r="C13" s="7" t="s">
        <v>233</v>
      </c>
      <c r="D13" s="7" t="s">
        <v>39</v>
      </c>
      <c r="E13" s="7" t="s">
        <v>234</v>
      </c>
      <c r="F13" s="8">
        <f>ROUND((Q13*'Scoring Guide'!$B$4+R13*'Scoring Guide'!$B$5+S13*'Scoring Guide'!$B$6+T13*'Scoring Guide'!$B$7+U13*'Scoring Guide'!$B$8+V13*'Scoring Guide'!$B$9+W13*'Scoring Guide'!$B$10)/5*100,1)</f>
        <v>90.5</v>
      </c>
      <c r="G13" s="9" t="s">
        <v>235</v>
      </c>
      <c r="H13" s="9" t="s">
        <v>236</v>
      </c>
      <c r="I13" s="9" t="s">
        <v>237</v>
      </c>
      <c r="J13" s="9" t="s">
        <v>238</v>
      </c>
      <c r="K13" s="9" t="s">
        <v>239</v>
      </c>
      <c r="L13" s="9" t="s">
        <v>240</v>
      </c>
      <c r="M13" s="9" t="s">
        <v>241</v>
      </c>
      <c r="N13" s="9" t="s">
        <v>242</v>
      </c>
      <c r="O13" s="9" t="s">
        <v>243</v>
      </c>
      <c r="P13" s="9" t="s">
        <v>244</v>
      </c>
      <c r="Q13" s="8">
        <v>4</v>
      </c>
      <c r="R13" s="8">
        <v>5</v>
      </c>
      <c r="S13" s="8">
        <v>5</v>
      </c>
      <c r="T13" s="8">
        <v>4.5</v>
      </c>
      <c r="U13" s="8">
        <v>3.5</v>
      </c>
      <c r="V13" s="8">
        <v>5</v>
      </c>
      <c r="W13" s="8">
        <v>5</v>
      </c>
      <c r="X13" s="9" t="s">
        <v>30</v>
      </c>
      <c r="Y13" s="9" t="s">
        <v>245</v>
      </c>
      <c r="Z13" s="15" t="str">
        <f>HYPERLINK("https://www.monkeyhousevt.com/","https://www.monkeyhousevt.com/")</f>
        <v>https://www.monkeyhousevt.com/</v>
      </c>
      <c r="AA13" s="15" t="str">
        <f>HYPERLINK("https://www.monkeyhousevt.com/faq","https://www.monkeyhousevt.com/faq")</f>
        <v>https://www.monkeyhousevt.com/faq</v>
      </c>
      <c r="AB13" s="9" t="s">
        <v>113</v>
      </c>
      <c r="AC13" s="9" t="s">
        <v>114</v>
      </c>
      <c r="AD13" s="9"/>
    </row>
    <row r="14" spans="1:30" ht="41.4">
      <c r="A14" s="10" t="e">
        <f ca="1">_xludf.RANK.EQ(F14,$F$2:$F$17,0)+COUNTIF($F$2:F14,F14)-1</f>
        <v>#NAME?</v>
      </c>
      <c r="B14" s="10" t="str">
        <f t="shared" si="0"/>
        <v>A-</v>
      </c>
      <c r="C14" s="10" t="s">
        <v>246</v>
      </c>
      <c r="D14" s="10" t="s">
        <v>115</v>
      </c>
      <c r="E14" s="10" t="s">
        <v>247</v>
      </c>
      <c r="F14" s="11">
        <f>ROUND((Q14*'Scoring Guide'!$B$4+R14*'Scoring Guide'!$B$5+S14*'Scoring Guide'!$B$6+T14*'Scoring Guide'!$B$7+U14*'Scoring Guide'!$B$8+V14*'Scoring Guide'!$B$9+W14*'Scoring Guide'!$B$10)/5*100,1)</f>
        <v>86.5</v>
      </c>
      <c r="G14" s="12" t="s">
        <v>248</v>
      </c>
      <c r="H14" s="12" t="s">
        <v>249</v>
      </c>
      <c r="I14" s="12" t="s">
        <v>250</v>
      </c>
      <c r="J14" s="12" t="s">
        <v>251</v>
      </c>
      <c r="K14" s="12" t="s">
        <v>252</v>
      </c>
      <c r="L14" s="12" t="s">
        <v>253</v>
      </c>
      <c r="M14" s="12" t="s">
        <v>254</v>
      </c>
      <c r="N14" s="12" t="s">
        <v>255</v>
      </c>
      <c r="O14" s="12" t="s">
        <v>256</v>
      </c>
      <c r="P14" s="12" t="s">
        <v>257</v>
      </c>
      <c r="Q14" s="11">
        <v>4.5</v>
      </c>
      <c r="R14" s="11">
        <v>5</v>
      </c>
      <c r="S14" s="11">
        <v>4.5</v>
      </c>
      <c r="T14" s="11">
        <v>5</v>
      </c>
      <c r="U14" s="11">
        <v>2.5</v>
      </c>
      <c r="V14" s="11">
        <v>2.5</v>
      </c>
      <c r="W14" s="11">
        <v>4</v>
      </c>
      <c r="X14" s="12" t="s">
        <v>30</v>
      </c>
      <c r="Y14" s="12" t="s">
        <v>258</v>
      </c>
      <c r="Z14" s="14" t="str">
        <f>HYPERLINK("https://soea.com/celebrations/","https://soea.com/celebrations/")</f>
        <v>https://soea.com/celebrations/</v>
      </c>
      <c r="AA14" s="14" t="str">
        <f>HYPERLINK("https://soea.com/lets-talk","https://soea.com/lets-talk")</f>
        <v>https://soea.com/lets-talk</v>
      </c>
      <c r="AB14" s="12" t="s">
        <v>113</v>
      </c>
      <c r="AC14" s="12" t="s">
        <v>114</v>
      </c>
      <c r="AD14" s="12"/>
    </row>
    <row r="15" spans="1:30" ht="41.4">
      <c r="A15" s="7" t="e">
        <f ca="1">_xludf.RANK.EQ(F15,$F$2:$F$17,0)+COUNTIF($F$2:F15,F15)-1</f>
        <v>#NAME?</v>
      </c>
      <c r="B15" s="7" t="str">
        <f t="shared" si="0"/>
        <v>A-</v>
      </c>
      <c r="C15" s="7" t="s">
        <v>259</v>
      </c>
      <c r="D15" s="7" t="s">
        <v>139</v>
      </c>
      <c r="E15" s="7" t="s">
        <v>260</v>
      </c>
      <c r="F15" s="8">
        <f>ROUND((Q15*'Scoring Guide'!$B$4+R15*'Scoring Guide'!$B$5+S15*'Scoring Guide'!$B$6+T15*'Scoring Guide'!$B$7+U15*'Scoring Guide'!$B$8+V15*'Scoring Guide'!$B$9+W15*'Scoring Guide'!$B$10)/5*100,1)</f>
        <v>86</v>
      </c>
      <c r="G15" s="9" t="s">
        <v>261</v>
      </c>
      <c r="H15" s="9" t="s">
        <v>262</v>
      </c>
      <c r="I15" s="9" t="s">
        <v>263</v>
      </c>
      <c r="J15" s="9" t="s">
        <v>264</v>
      </c>
      <c r="K15" s="9" t="s">
        <v>265</v>
      </c>
      <c r="L15" s="9" t="s">
        <v>266</v>
      </c>
      <c r="M15" s="9" t="s">
        <v>267</v>
      </c>
      <c r="N15" s="9" t="s">
        <v>268</v>
      </c>
      <c r="O15" s="9" t="s">
        <v>269</v>
      </c>
      <c r="P15" s="9" t="s">
        <v>270</v>
      </c>
      <c r="Q15" s="8">
        <v>5</v>
      </c>
      <c r="R15" s="8">
        <v>5</v>
      </c>
      <c r="S15" s="8">
        <v>3.5</v>
      </c>
      <c r="T15" s="8">
        <v>5</v>
      </c>
      <c r="U15" s="8">
        <v>1.5</v>
      </c>
      <c r="V15" s="8">
        <v>2.5</v>
      </c>
      <c r="W15" s="8">
        <v>5</v>
      </c>
      <c r="X15" s="9" t="s">
        <v>30</v>
      </c>
      <c r="Y15" s="9" t="s">
        <v>271</v>
      </c>
      <c r="Z15" s="15" t="str">
        <f>HYPERLINK("https://churchstmarketplace.com/marketplace-team","https://churchstmarketplace.com/marketplace-team")</f>
        <v>https://churchstmarketplace.com/marketplace-team</v>
      </c>
      <c r="AA15" s="15" t="str">
        <f>HYPERLINK("https://churchstmarketplace.com/marketplace-team","https://churchstmarketplace.com/marketplace-team")</f>
        <v>https://churchstmarketplace.com/marketplace-team</v>
      </c>
      <c r="AB15" s="9" t="s">
        <v>113</v>
      </c>
      <c r="AC15" s="9" t="s">
        <v>114</v>
      </c>
      <c r="AD15" s="9"/>
    </row>
    <row r="16" spans="1:30" ht="41.4">
      <c r="A16" s="10" t="e">
        <f ca="1">_xludf.RANK.EQ(F16,$F$2:$F$17,0)+COUNTIF($F$2:F16,F16)-1</f>
        <v>#NAME?</v>
      </c>
      <c r="B16" s="10" t="str">
        <f t="shared" si="0"/>
        <v>B+</v>
      </c>
      <c r="C16" s="10" t="s">
        <v>272</v>
      </c>
      <c r="D16" s="10" t="s">
        <v>47</v>
      </c>
      <c r="E16" s="10" t="s">
        <v>273</v>
      </c>
      <c r="F16" s="11">
        <f>ROUND((Q16*'Scoring Guide'!$B$4+R16*'Scoring Guide'!$B$5+S16*'Scoring Guide'!$B$6+T16*'Scoring Guide'!$B$7+U16*'Scoring Guide'!$B$8+V16*'Scoring Guide'!$B$9+W16*'Scoring Guide'!$B$10)/5*100,1)</f>
        <v>84.5</v>
      </c>
      <c r="G16" s="12" t="s">
        <v>274</v>
      </c>
      <c r="H16" s="12" t="s">
        <v>275</v>
      </c>
      <c r="I16" s="12" t="s">
        <v>276</v>
      </c>
      <c r="J16" s="12" t="s">
        <v>277</v>
      </c>
      <c r="K16" s="12" t="s">
        <v>278</v>
      </c>
      <c r="L16" s="12" t="s">
        <v>279</v>
      </c>
      <c r="M16" s="12" t="s">
        <v>280</v>
      </c>
      <c r="N16" s="12" t="s">
        <v>281</v>
      </c>
      <c r="O16" s="12" t="s">
        <v>282</v>
      </c>
      <c r="P16" s="12" t="s">
        <v>283</v>
      </c>
      <c r="Q16" s="11">
        <v>3.5</v>
      </c>
      <c r="R16" s="11">
        <v>4.5</v>
      </c>
      <c r="S16" s="11">
        <v>4.5</v>
      </c>
      <c r="T16" s="11">
        <v>4.5</v>
      </c>
      <c r="U16" s="11">
        <v>4</v>
      </c>
      <c r="V16" s="11">
        <v>4</v>
      </c>
      <c r="W16" s="11">
        <v>5</v>
      </c>
      <c r="X16" s="12" t="s">
        <v>30</v>
      </c>
      <c r="Y16" s="12" t="s">
        <v>284</v>
      </c>
      <c r="Z16" s="14" t="str">
        <f>HYPERLINK("https://www.doubleevt.com/the-double-e-lounge","https://www.doubleevt.com/the-double-e-lounge")</f>
        <v>https://www.doubleevt.com/the-double-e-lounge</v>
      </c>
      <c r="AA16" s="14" t="str">
        <f>HYPERLINK("https://www.doubleevt.com/","https://www.doubleevt.com/")</f>
        <v>https://www.doubleevt.com/</v>
      </c>
      <c r="AB16" s="12" t="s">
        <v>113</v>
      </c>
      <c r="AC16" s="12" t="s">
        <v>114</v>
      </c>
      <c r="AD16" s="12"/>
    </row>
    <row r="17" spans="1:30" ht="41.4">
      <c r="A17" s="7" t="e">
        <f ca="1">_xludf.RANK.EQ(F17,$F$2:$F$17,0)+COUNTIF($F$2:F17,F17)-1</f>
        <v>#NAME?</v>
      </c>
      <c r="B17" s="7" t="str">
        <f t="shared" si="0"/>
        <v>B+</v>
      </c>
      <c r="C17" s="7" t="s">
        <v>285</v>
      </c>
      <c r="D17" s="7" t="s">
        <v>39</v>
      </c>
      <c r="E17" s="7" t="s">
        <v>286</v>
      </c>
      <c r="F17" s="8">
        <f>ROUND((Q17*'Scoring Guide'!$B$4+R17*'Scoring Guide'!$B$5+S17*'Scoring Guide'!$B$6+T17*'Scoring Guide'!$B$7+U17*'Scoring Guide'!$B$8+V17*'Scoring Guide'!$B$9+W17*'Scoring Guide'!$B$10)/5*100,1)</f>
        <v>83.5</v>
      </c>
      <c r="G17" s="9" t="s">
        <v>287</v>
      </c>
      <c r="H17" s="9" t="s">
        <v>288</v>
      </c>
      <c r="I17" s="9" t="s">
        <v>289</v>
      </c>
      <c r="J17" s="9" t="s">
        <v>290</v>
      </c>
      <c r="K17" s="9" t="s">
        <v>291</v>
      </c>
      <c r="L17" s="9" t="s">
        <v>292</v>
      </c>
      <c r="M17" s="9" t="s">
        <v>293</v>
      </c>
      <c r="N17" s="9" t="s">
        <v>294</v>
      </c>
      <c r="O17" s="9" t="s">
        <v>295</v>
      </c>
      <c r="P17" s="9" t="s">
        <v>296</v>
      </c>
      <c r="Q17" s="8">
        <v>3.5</v>
      </c>
      <c r="R17" s="8">
        <v>4</v>
      </c>
      <c r="S17" s="8">
        <v>4.5</v>
      </c>
      <c r="T17" s="8">
        <v>4.5</v>
      </c>
      <c r="U17" s="8">
        <v>4</v>
      </c>
      <c r="V17" s="8">
        <v>5</v>
      </c>
      <c r="W17" s="8">
        <v>5</v>
      </c>
      <c r="X17" s="9" t="s">
        <v>30</v>
      </c>
      <c r="Y17" s="9" t="s">
        <v>297</v>
      </c>
      <c r="Z17" s="15" t="str">
        <f>HYPERLINK("https://fourquartersbrewing.com/","https://fourquartersbrewing.com/")</f>
        <v>https://fourquartersbrewing.com/</v>
      </c>
      <c r="AA17" s="15" t="str">
        <f>HYPERLINK("https://fourquartersbrewing.com/","https://fourquartersbrewing.com/")</f>
        <v>https://fourquartersbrewing.com/</v>
      </c>
      <c r="AB17" s="9" t="s">
        <v>113</v>
      </c>
      <c r="AC17" s="9" t="s">
        <v>114</v>
      </c>
      <c r="AD17" s="9"/>
    </row>
  </sheetData>
  <conditionalFormatting sqref="F2:F17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dataValidations count="2">
    <dataValidation type="list" sqref="AB2:AB17" xr:uid="{00000000-0002-0000-0100-000000000000}">
      <formula1>"Not Contacted,Email Sent,Replied,Meeting Set,Follow Up,Pass"</formula1>
    </dataValidation>
    <dataValidation type="list" sqref="AC2:AC17" xr:uid="{00000000-0002-0000-0100-000001000000}">
      <formula1>"Not Visited,Drive-By,Walked In,Met Contact,Revisit,Pass"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sqref="A1:D1"/>
    </sheetView>
  </sheetViews>
  <sheetFormatPr defaultRowHeight="13.8"/>
  <cols>
    <col min="1" max="1" width="24" customWidth="1"/>
    <col min="2" max="2" width="13" customWidth="1"/>
    <col min="3" max="3" width="40" customWidth="1"/>
    <col min="4" max="4" width="42" customWidth="1"/>
  </cols>
  <sheetData>
    <row r="1" spans="1:4" ht="24" customHeight="1">
      <c r="A1" s="19" t="s">
        <v>298</v>
      </c>
      <c r="B1" s="19"/>
      <c r="C1" s="19"/>
      <c r="D1" s="19"/>
    </row>
    <row r="3" spans="1:4">
      <c r="A3" s="2" t="s">
        <v>299</v>
      </c>
      <c r="B3" s="2" t="s">
        <v>300</v>
      </c>
      <c r="C3" s="2" t="s">
        <v>301</v>
      </c>
      <c r="D3" s="2" t="s">
        <v>302</v>
      </c>
    </row>
    <row r="4" spans="1:4" ht="27.6">
      <c r="A4" s="3" t="s">
        <v>303</v>
      </c>
      <c r="B4" s="4">
        <v>0.25</v>
      </c>
      <c r="C4" s="3" t="s">
        <v>304</v>
      </c>
      <c r="D4" s="3" t="s">
        <v>305</v>
      </c>
    </row>
    <row r="5" spans="1:4" ht="27.6">
      <c r="A5" s="3" t="s">
        <v>306</v>
      </c>
      <c r="B5" s="4">
        <v>0.2</v>
      </c>
      <c r="C5" s="3" t="s">
        <v>307</v>
      </c>
      <c r="D5" s="3" t="s">
        <v>308</v>
      </c>
    </row>
    <row r="6" spans="1:4" ht="27.6">
      <c r="A6" s="3" t="s">
        <v>309</v>
      </c>
      <c r="B6" s="4">
        <v>0.15</v>
      </c>
      <c r="C6" s="3" t="s">
        <v>310</v>
      </c>
      <c r="D6" s="3" t="s">
        <v>311</v>
      </c>
    </row>
    <row r="7" spans="1:4" ht="27.6">
      <c r="A7" s="3" t="s">
        <v>90</v>
      </c>
      <c r="B7" s="4">
        <v>0.15</v>
      </c>
      <c r="C7" s="3" t="s">
        <v>312</v>
      </c>
      <c r="D7" s="3" t="s">
        <v>313</v>
      </c>
    </row>
    <row r="8" spans="1:4" ht="27.6">
      <c r="A8" s="3" t="s">
        <v>91</v>
      </c>
      <c r="B8" s="4">
        <v>0.1</v>
      </c>
      <c r="C8" s="3" t="s">
        <v>314</v>
      </c>
      <c r="D8" s="3" t="s">
        <v>315</v>
      </c>
    </row>
    <row r="9" spans="1:4">
      <c r="A9" s="3" t="s">
        <v>316</v>
      </c>
      <c r="B9" s="4">
        <v>0.05</v>
      </c>
      <c r="C9" s="3" t="s">
        <v>317</v>
      </c>
      <c r="D9" s="3" t="s">
        <v>318</v>
      </c>
    </row>
    <row r="10" spans="1:4" ht="27.6">
      <c r="A10" s="3" t="s">
        <v>93</v>
      </c>
      <c r="B10" s="4">
        <v>0.1</v>
      </c>
      <c r="C10" s="3" t="s">
        <v>319</v>
      </c>
      <c r="D10" s="3" t="s">
        <v>320</v>
      </c>
    </row>
    <row r="11" spans="1:4">
      <c r="A11" s="3"/>
      <c r="B11" s="3"/>
      <c r="C11" s="3"/>
      <c r="D11" s="3"/>
    </row>
    <row r="12" spans="1:4">
      <c r="A12" s="2" t="s">
        <v>321</v>
      </c>
      <c r="B12" s="2" t="s">
        <v>322</v>
      </c>
      <c r="C12" s="2" t="s">
        <v>323</v>
      </c>
      <c r="D12" s="2" t="s">
        <v>324</v>
      </c>
    </row>
    <row r="13" spans="1:4">
      <c r="A13" s="3" t="s">
        <v>325</v>
      </c>
      <c r="B13" s="3" t="s">
        <v>326</v>
      </c>
      <c r="C13" s="3" t="s">
        <v>327</v>
      </c>
      <c r="D13" s="3" t="s">
        <v>328</v>
      </c>
    </row>
    <row r="14" spans="1:4">
      <c r="A14" s="3" t="s">
        <v>329</v>
      </c>
      <c r="B14" s="3" t="s">
        <v>330</v>
      </c>
      <c r="C14" s="3" t="s">
        <v>331</v>
      </c>
      <c r="D14" s="3" t="s">
        <v>332</v>
      </c>
    </row>
    <row r="15" spans="1:4">
      <c r="A15" s="3" t="s">
        <v>333</v>
      </c>
      <c r="B15" s="3" t="s">
        <v>334</v>
      </c>
      <c r="C15" s="3" t="s">
        <v>335</v>
      </c>
      <c r="D15" s="3" t="s">
        <v>336</v>
      </c>
    </row>
    <row r="16" spans="1:4">
      <c r="A16" s="3" t="s">
        <v>337</v>
      </c>
      <c r="B16" s="3" t="s">
        <v>338</v>
      </c>
      <c r="C16" s="3" t="s">
        <v>339</v>
      </c>
      <c r="D16" s="3" t="s">
        <v>340</v>
      </c>
    </row>
    <row r="17" spans="1:4" ht="27.6">
      <c r="A17" s="3" t="s">
        <v>341</v>
      </c>
      <c r="B17" s="3" t="s">
        <v>342</v>
      </c>
      <c r="C17" s="3" t="s">
        <v>343</v>
      </c>
      <c r="D17" s="3" t="s">
        <v>344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Master Prospects</vt:lpstr>
      <vt:lpstr>Scoring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DiMotta</dc:creator>
  <cp:lastModifiedBy>Zachary DiMotta</cp:lastModifiedBy>
  <dcterms:created xsi:type="dcterms:W3CDTF">2026-09-10T18:38:42Z</dcterms:created>
  <dcterms:modified xsi:type="dcterms:W3CDTF">2026-09-10T18:54:13Z</dcterms:modified>
</cp:coreProperties>
</file>